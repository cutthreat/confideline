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cad6ef97f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f2b34f6e6a14722"/>
    <x:sheet xmlns:r="http://schemas.openxmlformats.org/officeDocument/2006/relationships" name="Приёмка" sheetId="2" r:id="R35bee9b59db24294"/>
    <x:sheet xmlns:r="http://schemas.openxmlformats.org/officeDocument/2006/relationships" name="Сценарии" sheetId="3" r:id="R97d9126eb2744edc"/>
    <x:sheet xmlns:r="http://schemas.openxmlformats.org/officeDocument/2006/relationships" name="Дефекты" sheetId="4" r:id="Rb74f5f36cc794a49"/>
    <x:sheet xmlns:r="http://schemas.openxmlformats.org/officeDocument/2006/relationships" name="Не проверено" sheetId="5" r:id="Raedc23f81d064e1d"/>
    <x:sheet xmlns:r="http://schemas.openxmlformats.org/officeDocument/2006/relationships" name="BA решения" sheetId="6" r:id="R36a612a3d4fd4eff"/>
    <x:sheet xmlns:r="http://schemas.openxmlformats.org/officeDocument/2006/relationships" name="Источники" sheetId="7" r:id="R6fe7344308f8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CE4E4"/>
        </x:patternFill>
      </x:fill>
    </x:dxf>
    <x:dxf>
      <x:fill>
        <x:patternFill patternType="solid">
          <x:bgColor rgb="FFFFF1D1"/>
        </x:patternFill>
      </x:fill>
    </x:dxf>
    <x:dxf>
      <x:fill>
        <x:patternFill patternType="solid">
          <x:bgColor rgb="FFF0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329680488442d" /><Relationship Type="http://schemas.openxmlformats.org/officeDocument/2006/relationships/theme" Target="/xl/theme/theme1.xml" Id="R53e3d8eabf0d4813" /><Relationship Type="http://schemas.openxmlformats.org/officeDocument/2006/relationships/sharedStrings" Target="/xl/sharedStrings.xml" Id="Rbefc89055c024bb1" /><Relationship Type="http://schemas.openxmlformats.org/officeDocument/2006/relationships/worksheet" Target="/xl/worksheets/sheet1.xml" Id="R6f2b34f6e6a14722" /><Relationship Type="http://schemas.openxmlformats.org/officeDocument/2006/relationships/worksheet" Target="/xl/worksheets/sheet2.xml" Id="R35bee9b59db24294" /><Relationship Type="http://schemas.openxmlformats.org/officeDocument/2006/relationships/worksheet" Target="/xl/worksheets/sheet3.xml" Id="R97d9126eb2744edc" /><Relationship Type="http://schemas.openxmlformats.org/officeDocument/2006/relationships/worksheet" Target="/xl/worksheets/sheet4.xml" Id="Rb74f5f36cc794a49" /><Relationship Type="http://schemas.openxmlformats.org/officeDocument/2006/relationships/worksheet" Target="/xl/worksheets/sheet5.xml" Id="Raedc23f81d064e1d" /><Relationship Type="http://schemas.openxmlformats.org/officeDocument/2006/relationships/worksheet" Target="/xl/worksheets/sheet6.xml" Id="R36a612a3d4fd4eff" /><Relationship Type="http://schemas.openxmlformats.org/officeDocument/2006/relationships/worksheet" Target="/xl/worksheets/sheet7.xml" Id="R6fe7344308f84f9b" /></Relationships>
</file>

<file path=xl/tables/table1.xml><?xml version="1.0" encoding="utf-8"?>
<x:table xmlns:x="http://schemas.openxmlformats.org/spreadsheetml/2006/main" id="1" name="QA_client_support_1" displayName="QA_client_support_1" ref="A1:L14" headerRowCount="1" totalsRowCount="0" totalsRowShown="0">
  <x:autoFilter ref="A1:L14"/>
  <x:tableColumns count="12">
    <x:tableColumn id="1" name="ID"/>
    <x:tableColumn id="2" name="Критерий проверки"/>
    <x:tableColumn id="3" name="Результат приёмки"/>
    <x:tableColumn id="4" name="Доказано / критерий"/>
    <x:tableColumn id="5" name="Остаток"/>
    <x:tableColumn id="6" name="Причина"/>
    <x:tableColumn id="7" name="Ответственный"/>
    <x:tableColumn id="8" name="Следующий шаг"/>
    <x:tableColumn id="9" name="Связанные сценарии"/>
    <x:tableColumn id="10" name="Доказательства"/>
    <x:tableColumn id="11" name="Источник"/>
    <x:tableColumn id="12" name="Откры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_client_support_2" displayName="QA_client_support_2" ref="A1:N14" headerRowCount="1" totalsRowCount="0" totalsRowShown="0">
  <x:autoFilter ref="A1:N14"/>
  <x:tableColumns count="14">
    <x:tableColumn id="1" name="ID"/>
    <x:tableColumn id="2" name="Сценарий"/>
    <x:tableColumn id="3" name="Ожидание"/>
    <x:tableColumn id="4" name="Роли"/>
    <x:tableColumn id="5" name="Результат"/>
    <x:tableColumn id="6" name="Факт исходного прохода / причина"/>
    <x:tableColumn id="7" name="Шаги"/>
    <x:tableColumn id="8" name="Дата проверки UTC"/>
    <x:tableColumn id="9" name="URL"/>
    <x:tableColumn id="10" name="Прежний статус16.10"/>
    <x:tableColumn id="11" name="Доказательства"/>
    <x:tableColumn id="12" name="Источник"/>
    <x:tableColumn id="13" name="Граница / следующий шаг"/>
    <x:tableColumn id="14" name="Открыт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_client_support_3" displayName="QA_client_support_3" ref="A1:L4" headerRowCount="1" totalsRowCount="0" totalsRowShown="0">
  <x:autoFilter ref="A1:L4"/>
  <x:tableColumns count="12">
    <x:tableColumn id="1" name="ID"/>
    <x:tableColumn id="2" name="Приоритет"/>
    <x:tableColumn id="3" name="Название"/>
    <x:tableColumn id="4" name="Решение"/>
    <x:tableColumn id="5" name="Факт"/>
    <x:tableColumn id="6" name="Ожидание"/>
    <x:tableColumn id="7" name="Воспроизведение"/>
    <x:tableColumn id="8" name="Роль / URL / дата"/>
    <x:tableColumn id="9" name="Доказательства"/>
    <x:tableColumn id="10" name="Критерии исправления"/>
    <x:tableColumn id="11" name="Границы"/>
    <x:tableColumn id="12" name="Откры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_client_support_4" displayName="QA_client_support_4" ref="A1:F4" headerRowCount="1" totalsRowCount="0" totalsRowShown="0">
  <x:autoFilter ref="A1:F4"/>
  <x:tableColumns count="6">
    <x:tableColumn id="1" name="ID"/>
    <x:tableColumn id="2" name="Непроверенный критерий"/>
    <x:tableColumn id="3" name="Точная причина / что известно"/>
    <x:tableColumn id="4" name="Следующий шаг"/>
    <x:tableColumn id="5" name="Источник"/>
    <x:tableColumn id="6" name="Ответственны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_client_support_5" displayName="QA_client_support_5" ref="A1:E2" headerRowCount="1" totalsRowCount="0" totalsRowShown="0">
  <x:autoFilter ref="A1:E2"/>
  <x:tableColumns count="5">
    <x:tableColumn id="1" name="ID"/>
    <x:tableColumn id="2" name="Статус"/>
    <x:tableColumn id="3" name="Предмет"/>
    <x:tableColumn id="4" name="Подтверждённый факт / границы"/>
    <x:tableColumn id="5" name="Решение / следующий ша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A_client_support_6" displayName="QA_client_support_6" ref="A1:E12" headerRowCount="1" totalsRowCount="0" totalsRowShown="0">
  <x:autoFilter ref="A1:E12"/>
  <x:tableColumns count="5">
    <x:tableColumn id="1" name="Путь"/>
    <x:tableColumn id="2" name="SHA-256"/>
    <x:tableColumn id="3" name="Назначение"/>
    <x:tableColumn id="4" name="Связанные ID"/>
    <x:tableColumn id="5" name="Откры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844baf87cd9c431f" /><ns0:Relationship Id="qaAuditLink1" Type="http://schemas.openxmlformats.org/officeDocument/2006/relationships/hyperlink" Target="evidence/originals/support-create-bound.jpg" TargetMode="External" /><ns0:Relationship Id="qaAuditLink2" Type="http://schemas.openxmlformats.org/officeDocument/2006/relationships/hyperlink" Target="evidence/originals/support-conflict-retained.jpg" TargetMode="External" /><ns0:Relationship Id="qaAuditLink3" Type="http://schemas.openxmlformats.org/officeDocument/2006/relationships/hyperlink" Target="evidence/originals/support-retry-conflict-loop.jpg" TargetMode="External" /><ns0:Relationship Id="qaAuditLink4" Type="http://schemas.openxmlformats.org/officeDocument/2006/relationships/hyperlink" Target="evidence/protocol.json" TargetMode="External" /><ns0:Relationship Id="qaAuditLink5" Type="http://schemas.openxmlformats.org/officeDocument/2006/relationships/hyperlink" Target="evidence/protocol.json" TargetMode="External" /><ns0:Relationship Id="qaAuditLink6" Type="http://schemas.openxmlformats.org/officeDocument/2006/relationships/hyperlink" Target="evidence/protocol.json" TargetMode="External" /><ns0:Relationship Id="qaAuditLink7" Type="http://schemas.openxmlformats.org/officeDocument/2006/relationships/hyperlink" Target="evidence/originals/support-total-limit.jpg" TargetMode="External" /><ns0:Relationship Id="qaAuditLink8" Type="http://schemas.openxmlformats.org/officeDocument/2006/relationships/hyperlink" Target="evidence/originals/support-list-closed.jpg" TargetMode="External" /><ns0:Relationship Id="qaAuditLink9" Type="http://schemas.openxmlformats.org/officeDocument/2006/relationships/hyperlink" Target="evidence/originals/support-closed-360.png" TargetMode="External" /><ns0:Relationship Id="qaAuditLink10" Type="http://schemas.openxmlformats.org/officeDocument/2006/relationships/hyperlink" Target="evidence/originals/support-closed-360.png" TargetMode="External" /><ns0:Relationship Id="qaAuditLink11" Type="http://schemas.openxmlformats.org/officeDocument/2006/relationships/hyperlink" Target="sources/TZ.md" TargetMode="External" /><ns0:Relationship Id="qaAuditLink12" Type="http://schemas.openxmlformats.org/officeDocument/2006/relationships/hyperlink" Target="sources/TZ.md" TargetMode="External" /><ns0:Relationship Id="qaAuditLink13" Type="http://schemas.openxmlformats.org/officeDocument/2006/relationships/hyperlink" Target="sources/TZ.md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ba30df876f014d28" /><ns0:Relationship Id="qaAuditLink1" Type="http://schemas.openxmlformats.org/officeDocument/2006/relationships/hyperlink" Target="evidence/originals/support-create-bound.jpg" TargetMode="External" /><ns0:Relationship Id="qaAuditLink2" Type="http://schemas.openxmlformats.org/officeDocument/2006/relationships/hyperlink" Target="evidence/originals/support-conflict-retained.jpg" TargetMode="External" /><ns0:Relationship Id="qaAuditLink3" Type="http://schemas.openxmlformats.org/officeDocument/2006/relationships/hyperlink" Target="evidence/originals/support-retry-conflict-loop.jpg" TargetMode="External" /><ns0:Relationship Id="qaAuditLink4" Type="http://schemas.openxmlformats.org/officeDocument/2006/relationships/hyperlink" Target="evidence/protocol.json" TargetMode="External" /><ns0:Relationship Id="qaAuditLink5" Type="http://schemas.openxmlformats.org/officeDocument/2006/relationships/hyperlink" Target="evidence/protocol.json" TargetMode="External" /><ns0:Relationship Id="qaAuditLink6" Type="http://schemas.openxmlformats.org/officeDocument/2006/relationships/hyperlink" Target="evidence/protocol.json" TargetMode="External" /><ns0:Relationship Id="qaAuditLink7" Type="http://schemas.openxmlformats.org/officeDocument/2006/relationships/hyperlink" Target="evidence/originals/support-total-limit.jpg" TargetMode="External" /><ns0:Relationship Id="qaAuditLink8" Type="http://schemas.openxmlformats.org/officeDocument/2006/relationships/hyperlink" Target="evidence/originals/support-list-closed.jpg" TargetMode="External" /><ns0:Relationship Id="qaAuditLink9" Type="http://schemas.openxmlformats.org/officeDocument/2006/relationships/hyperlink" Target="evidence/originals/support-closed-360.png" TargetMode="External" /><ns0:Relationship Id="qaAuditLink10" Type="http://schemas.openxmlformats.org/officeDocument/2006/relationships/hyperlink" Target="evidence/originals/support-closed-360.png" TargetMode="External" /><ns0:Relationship Id="qaAuditLink11" Type="http://schemas.openxmlformats.org/officeDocument/2006/relationships/hyperlink" Target="sources/TZ.md" TargetMode="External" /><ns0:Relationship Id="qaAuditLink12" Type="http://schemas.openxmlformats.org/officeDocument/2006/relationships/hyperlink" Target="sources/TZ.md" TargetMode="External" /><ns0:Relationship Id="qaAuditLink13" Type="http://schemas.openxmlformats.org/officeDocument/2006/relationships/hyperlink" Target="sources/TZ.md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3.xml" Id="R4f3bbb0f6c624b92" /><ns0:Relationship Id="qaAuditLink1" Type="http://schemas.openxmlformats.org/officeDocument/2006/relationships/hyperlink" Target="evidence/originals/support-retry-conflict-loop.jpg" TargetMode="External" /><ns0:Relationship Id="qaAuditLink2" Type="http://schemas.openxmlformats.org/officeDocument/2006/relationships/hyperlink" Target="evidence/originals/support-closed-360.png" TargetMode="External" /><ns0:Relationship Id="qaAuditLink3" Type="http://schemas.openxmlformats.org/officeDocument/2006/relationships/hyperlink" Target="evidence/originals/support-closed-360.png" TargetMode="External" /></ns0: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b01c2b4dce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a6ec9b7dcc4f01" /></Relationships>
</file>

<file path=xl/worksheets/_rels/sheet7.xml.rels><?xml version='1.0' encoding='utf-8'?>
<ns0:Relationships xmlns:ns0="http://schemas.openxmlformats.org/package/2006/relationships"><ns0:Relationship Type="http://schemas.openxmlformats.org/officeDocument/2006/relationships/table" Target="/xl/tables/table6.xml" Id="R0fc48b61d624454f" /><ns0:Relationship Id="qaAuditLink1" Type="http://schemas.openxmlformats.org/officeDocument/2006/relationships/hyperlink" Target="sources/builder-adaptation.json" TargetMode="External" /><ns0:Relationship Id="qaAuditLink2" Type="http://schemas.openxmlformats.org/officeDocument/2006/relationships/hyperlink" Target="sources/QA-EXPERT-TESTING-STANDARD.md" TargetMode="External" /><ns0:Relationship Id="qaAuditLink3" Type="http://schemas.openxmlformats.org/officeDocument/2006/relationships/hyperlink" Target="sources/TZ.md" TargetMode="External" /><ns0:Relationship Id="qaAuditLink4" Type="http://schemas.openxmlformats.org/officeDocument/2006/relationships/hyperlink" Target="evidence/originals/mobile-width-confirmed.json" TargetMode="External" /><ns0:Relationship Id="qaAuditLink5" Type="http://schemas.openxmlformats.org/officeDocument/2006/relationships/hyperlink" Target="evidence/originals/support-closed-360.png" TargetMode="External" /><ns0:Relationship Id="qaAuditLink6" Type="http://schemas.openxmlformats.org/officeDocument/2006/relationships/hyperlink" Target="evidence/originals/support-conflict-retained.jpg" TargetMode="External" /><ns0:Relationship Id="qaAuditLink7" Type="http://schemas.openxmlformats.org/officeDocument/2006/relationships/hyperlink" Target="evidence/originals/support-create-bound.jpg" TargetMode="External" /><ns0:Relationship Id="qaAuditLink8" Type="http://schemas.openxmlformats.org/officeDocument/2006/relationships/hyperlink" Target="evidence/originals/support-list-closed.jpg" TargetMode="External" /><ns0:Relationship Id="qaAuditLink9" Type="http://schemas.openxmlformats.org/officeDocument/2006/relationships/hyperlink" Target="evidence/originals/support-retry-conflict-loop.jpg" TargetMode="External" /><ns0:Relationship Id="qaAuditLink10" Type="http://schemas.openxmlformats.org/officeDocument/2006/relationships/hyperlink" Target="evidence/originals/support-total-limit.jpg" TargetMode="External" /><ns0:Relationship Id="qaAuditLink11" Type="http://schemas.openxmlformats.org/officeDocument/2006/relationships/hyperlink" Target="evidence/protocol.json" TargetMode="External" /></ns0: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/>
  </x:sheetViews>
  <x:sheetFormatPr defaultRowHeight="15"/>
  <x:cols>
    <x:col min="1" max="1" width="36" hidden="0" customWidth="1"/>
    <x:col min="2" max="2" width="105" hidden="0" customWidth="1"/>
  </x:cols>
  <x:sheetData>
    <x:row r="1" ht="23" hidden="0" customHeight="1">
      <x:c r="A1" s="3" t="str"/>
      <x:c r="B1" s="3" t="str"/>
    </x:row>
    <x:row r="2" ht="26" hidden="0" customHeight="1">
      <x:c r="A2" s="4" t="str">
        <x:v>Поддержка клиента — client-chat-audit-20261028-r2</x:v>
      </x:c>
      <x:c r="B2" s="4" t="str"/>
    </x:row>
    <x:row r="3" ht="23" hidden="0" customHeight="1">
      <x:c r="A3" s="3" t="str">
        <x:v>Поле</x:v>
      </x:c>
      <x:c r="B3" s="3" t="str">
        <x:v>Значение</x:v>
      </x:c>
    </x:row>
    <x:row r="4" ht="23" hidden="0" customHeight="1">
      <x:c r="A4" s="3" t="str">
        <x:v>Сайт</x:v>
      </x:c>
      <x:c r="B4" s="3" t="str">
        <x:v>https://confideline.com</x:v>
      </x:c>
    </x:row>
    <x:row r="5" ht="47.599998474121094" hidden="0" customHeight="1">
      <x:c r="A5" s="3" t="str">
        <x:v>Проход / даты наблюдений</x:v>
      </x:c>
      <x:c r="B5" s="3" t="str">
        <x:v>client-chat-audit-20261028-r2
Текущие сценарии: 13. PASS 7, FAIL 3, NOT_RUN 3. Подтверждённых дефектов: 3. Полная приёмка открыта.
28.10.2026, UTC в протоколе; Europe/Minsk +03:00</x:v>
      </x:c>
    </x:row>
    <x:row r="6" ht="23" hidden="0" customHeight="1">
      <x:c r="A6" s="3" t="str">
        <x:v>Приёмка</x:v>
      </x:c>
      <x:c r="B6" s="3" t="str">
        <x:v>NOT_COMPLETE</x:v>
      </x:c>
    </x:row>
    <x:row r="7" ht="23" hidden="0" customHeight="1">
      <x:c r="A7" s="6" t="str">
        <x:v>Сценарии: результат</x:v>
      </x:c>
      <x:c r="B7" s="6" t="str">
        <x:v>Количество</x:v>
      </x:c>
    </x:row>
    <x:row r="8" ht="23" hidden="0" customHeight="1">
      <x:c r="A8" s="3" t="str">
        <x:v>PASS</x:v>
      </x:c>
      <x:c r="B8" s="7" t="n">
        <x:f>COUNTIFS('Сценарии'!E2:E14,"PASS")</x:f>
        <x:v>7</x:v>
      </x:c>
    </x:row>
    <x:row r="9" ht="23" hidden="0" customHeight="1">
      <x:c r="A9" s="3" t="str">
        <x:v>FAIL</x:v>
      </x:c>
      <x:c r="B9" s="7" t="n">
        <x:f>COUNTIFS('Сценарии'!E2:E14,"FAIL")</x:f>
        <x:v>3</x:v>
      </x:c>
    </x:row>
    <x:row r="10" ht="23" hidden="0" customHeight="1">
      <x:c r="A10" s="3" t="str">
        <x:v>BLOCKED</x:v>
      </x:c>
      <x:c r="B10" s="7" t="n">
        <x:f>COUNTIFS('Сценарии'!E2:E14,"BLOCKED")</x:f>
        <x:v>0</x:v>
      </x:c>
    </x:row>
    <x:row r="11" ht="23" hidden="0" customHeight="1">
      <x:c r="A11" s="3" t="str">
        <x:v>NOT_RUN</x:v>
      </x:c>
      <x:c r="B11" s="7" t="n">
        <x:f>COUNTIFS('Сценарии'!E2:E14,"NOT_RUN")</x:f>
        <x:v>3</x:v>
      </x:c>
    </x:row>
    <x:row r="12" ht="23" hidden="0" customHeight="1">
      <x:c r="A12" s="3" t="str">
        <x:v>N/A</x:v>
      </x:c>
      <x:c r="B12" s="7" t="n">
        <x:f>COUNTIFS('Сценарии'!E2:E14,"N/A")</x:f>
        <x:v>0</x:v>
      </x:c>
    </x:row>
    <x:row r="13" ht="23" hidden="0" customHeight="1">
      <x:c r="A13" s="3" t="str">
        <x:v>INVALID</x:v>
      </x:c>
      <x:c r="B13" s="7" t="n">
        <x:f>COUNTIFS('Сценарии'!E2:E14,"INVALID")</x:f>
        <x:v>0</x:v>
      </x:c>
    </x:row>
    <x:row r="14" ht="23" hidden="0" customHeight="1">
      <x:c r="A14" s="3" t="str">
        <x:v>WARN</x:v>
      </x:c>
      <x:c r="B14" s="7" t="n">
        <x:f>COUNTIFS('Сценарии'!E2:E14,"WARN")</x:f>
        <x:v>0</x:v>
      </x:c>
    </x:row>
    <x:row r="15" ht="23" hidden="0" customHeight="1">
      <x:c r="A15" s="3" t="str">
        <x:v>Всего сценариев</x:v>
      </x:c>
      <x:c r="B15" s="7" t="n">
        <x:v>13</x:v>
      </x:c>
    </x:row>
    <x:row r="16" ht="23" hidden="0" customHeight="1">
      <x:c r="A16" s="3" t="str">
        <x:v>Язык интерфейса</x:v>
      </x:c>
      <x:c r="B16" s="3" t="str">
        <x:v>RU; английские надписи сверены с RU-макетом</x:v>
      </x:c>
    </x:row>
    <x:row r="17" ht="23" hidden="0" customHeight="1">
      <x:c r="A17" s="3" t="str">
        <x:v>Пункты передачи: PASS</x:v>
      </x:c>
      <x:c r="B17" s="3" t="n">
        <x:f>COUNTIFS('Приёмка'!C2:C14,"PASS")</x:f>
        <x:v>7</x:v>
      </x:c>
    </x:row>
    <x:row r="18" ht="23" hidden="0" customHeight="1">
      <x:c r="A18" s="3" t="str">
        <x:v>Пункты передачи: FAIL</x:v>
      </x:c>
      <x:c r="B18" s="3" t="n">
        <x:f>COUNTIFS('Приёмка'!C2:C14,"FAIL")</x:f>
        <x:v>3</x:v>
      </x:c>
    </x:row>
    <x:row r="19" ht="23" hidden="0" customHeight="1">
      <x:c r="A19" s="3" t="str">
        <x:v>Пункты передачи: NOT_RUN</x:v>
      </x:c>
      <x:c r="B19" s="3" t="n">
        <x:f>COUNTIFS('Приёмка'!C2:C14,"NOT_RUN")</x:f>
        <x:v>3</x:v>
      </x:c>
    </x:row>
    <x:row r="20" ht="23" hidden="0" customHeight="1">
      <x:c r="A20" s="3" t="str">
        <x:v>Подтверждённые дефекты</x:v>
      </x:c>
      <x:c r="B20" s="3" t="n">
        <x:v>3</x:v>
      </x:c>
    </x:row>
    <x:row r="21" ht="47.599998474121094" hidden="0" customHeight="1">
      <x:c r="A21" s="3" t="str">
        <x:v>Основание</x:v>
      </x:c>
      <x:c r="B21" s="3" t="str">
        <x:v>R2: вывод CC-F03 об отсутствии Premium-пояснения отозван после изолированного повторного клика. Новые наблюдения сайта 28.10.2026. Статусы, HTML и XLSX получаются из одной матрицы. Сборщики адаптированы только к именам модулей и тексту текущей проверки.</x:v>
      </x:c>
    </x:row>
    <x:row r="22" ht="23" hidden="0" customHeight="1">
      <x:c r="A22" s="3" t="str">
        <x:v>Среда</x:v>
      </x:c>
      <x:c r="B22" s="3" t="str">
        <x:v>https://confideline.com, демоданные по назначению владельца</x:v>
      </x:c>
    </x:row>
    <x:row r="23" ht="23" hidden="0" customHeight="1">
      <x:c r="A23" s="3" t="str">
        <x:v>Дата</x:v>
      </x:c>
      <x:c r="B23" s="3" t="str">
        <x:v>28.10.2026, UTC в протоколе; Europe/Minsk +03:00</x:v>
      </x:c>
    </x:row>
    <x:row r="24" ht="23" hidden="0" customHeight="1">
      <x:c r="A24" s="3" t="str">
        <x:v>Роли</x:v>
      </x:c>
      <x:c r="B24" s="3" t="str">
        <x:v>IAB 2: Client #189; Chrome 3: Kristy #12, назначенные профили Talia/Solara. Эффективный доступ подтверждён UI.</x:v>
      </x:c>
    </x:row>
    <x:row r="25" ht="34.400001525878906" hidden="0" customHeight="1">
      <x:c r="A25" s="3" t="str">
        <x:v>Сборка</x:v>
      </x:c>
      <x:c r="B25" s="3" t="str">
        <x:v>Commit deployed-сервера не предоставлен. Версии CSS/JS и исходный пакет зафиксированы, не приравнены к server commit.</x:v>
      </x:c>
    </x:row>
    <x:row r="26" ht="23" hidden="0" customHeight="1">
      <x:c r="A26" s="3" t="str">
        <x:v>Viewport</x:v>
      </x:c>
      <x:c r="B26" s="3" t="str">
        <x:v>360/480/768/992/1280 CSS px, height720, scale=1, desktop renderer. Физические устройства не проверены.</x:v>
      </x:c>
    </x:row>
    <x:row r="27" ht="23" hidden="0" customHeight="1">
      <x:c r="A27" s="3" t="str">
        <x:v>Изменения стилей</x:v>
      </x:c>
      <x:c r="B27" s="3" t="str">
        <x:v>CSS/JS сайта и global_custom не менялись.</x:v>
      </x:c>
    </x:row>
    <x:row r="28" ht="23" hidden="0" customHeight="1">
      <x:c r="A28" s="3" t="str">
        <x:v>Граница денег</x:v>
      </x:c>
      <x:c r="B28" s="3" t="str">
        <x:v>Только существующие внутренние demo-кредиты. Stripe/card/billing реальные операции не выполнялись.</x:v>
      </x:c>
    </x:row>
    <x:row r="29" ht="23" hidden="0" customHeight="1">
      <x:c r="A29" s="3" t="str">
        <x:v>Серверный остаток</x:v>
      </x:c>
      <x:c r="B29" s="3" t="str">
        <x:v>Trial/low-balance, гонки и отрицательный доступ требуют отдельных подтверждённых fixtures.</x:v>
      </x:c>
    </x:row>
    <x:row r="30" ht="23" hidden="0" customHeight="1">
      <x:c r="A30" s="3" t="str">
        <x:v>Нативный Windows</x:v>
      </x:c>
      <x:c r="B30" s="3" t="str">
        <x:v>Успешный browser JS-dialog/login не является доказательством восстановления системного Computer Use.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1" hidden="0" customWidth="1"/>
    <col min="2" max="2" width="64" hidden="0" customWidth="1"/>
    <col min="3" max="3" width="20" hidden="0" customWidth="1"/>
    <col min="4" max="4" width="88" hidden="0" customWidth="1"/>
    <col min="5" max="5" width="70" hidden="0" customWidth="1"/>
    <col min="6" max="6" width="65" hidden="0" customWidth="1"/>
    <col min="7" max="7" width="28" hidden="0" customWidth="1"/>
    <col min="8" max="8" width="78" hidden="0" customWidth="1"/>
    <col min="9" max="9" width="42" hidden="0" customWidth="1"/>
    <col min="10" max="10" width="55" hidden="0" customWidth="1"/>
    <col min="11" max="11" width="72" hidden="0" customWidth="1"/>
    <col min="12" max="12" width="26" hidden="0" customWidth="1"/>
  </cols>
  <sheetData>
    <row r="1" ht="23" hidden="0" customHeight="1">
      <c r="A1" s="6" t="str">
        <v>ID</v>
      </c>
      <c r="B1" s="6" t="str">
        <v>Критерий проверки</v>
      </c>
      <c r="C1" s="6" t="str">
        <v>Результат приёмки</v>
      </c>
      <c r="D1" s="6" t="str">
        <v>Доказано / критерий</v>
      </c>
      <c r="E1" s="6" t="str">
        <v>Остаток</v>
      </c>
      <c r="F1" s="6" t="str">
        <v>Причина</v>
      </c>
      <c r="G1" s="6" t="str">
        <v>Ответственный</v>
      </c>
      <c r="H1" s="6" t="str">
        <v>Следующий шаг</v>
      </c>
      <c r="I1" s="6" t="str">
        <v>Связанные сценарии</v>
      </c>
      <c r="J1" s="6" t="str">
        <v>Доказательства</v>
      </c>
      <c r="K1" s="6" t="str">
        <v>Источник</v>
      </c>
      <c r="L1" s="6" t="str">
        <v>Открыть</v>
      </c>
    </row>
    <row r="2" ht="47.599998474121094" hidden="0" customHeight="1">
      <c r="A2" s="3" t="str">
        <v>SUP-CREATE-01</v>
      </c>
      <c r="B2" s="3" t="str">
        <v>Открыть Help из paused #56/session #26, пустая отправка, EXE и TXT, одна отправка</v>
      </c>
      <c r="C2" s="3" t="str">
        <v>PASS</v>
      </c>
      <c r="D2" s="3" t="str">
        <v>Критерий: Категория и связь сохранены, обязательные поля/запрещённый тип отклонены, один тикет
Доказано: Создан #32, категория консультация, связь #56/#26 и операция #266, TXT #9 доступен. Пустые title/description блокируются; EXE явно отклонён; введённый текст сохранён.</v>
      </c>
      <c r="E2" s="3" t="str"/>
      <c r="F2" s="3" t="str"/>
      <c r="G2" s="3" t="str">
        <v>Игорь / Codex по указанному следующему шагу</v>
      </c>
      <c r="H2" s="3" t="str">
        <v>Сохранить результат; повторить после изменения затронутой реализации.</v>
      </c>
      <c r="I2" s="3" t="str">
        <v>SUP-CREATE-01</v>
      </c>
      <c r="J2" s="3" t="str">
        <v>2 файлов. Основное: evidence/originals/support-create-bound.jpg
Полный список: лист Источники</v>
      </c>
      <c r="K2" s="3" t="str">
        <v>sources/TZ.md</v>
      </c>
      <c r="L2" s="3" t="str">
        <v>Доказательство</v>
      </c>
    </row>
    <row r="3" ht="47.599998474121094" hidden="0" customHeight="1">
      <c r="A3" s="3" t="str">
        <v>SUP-CONFLICT-01</v>
      </c>
      <c r="B3" s="3" t="str">
        <v>Одновременное назначение тикета оператором и ответ клиента из старой версии</v>
      </c>
      <c r="C3" s="3" t="str">
        <v>PASS</v>
      </c>
      <c r="D3" s="3" t="str">
        <v>Критерий: Конфликт версии не создаёт дубликат, текст и файлы остаются
Доказано: Сервер отклонил устаревшую версию: changed while editing, request not sent, text/files kept. Текст ответа клиента остался в редакторе, показан Retry same operation.</v>
      </c>
      <c r="E3" s="3" t="str"/>
      <c r="F3" s="3" t="str"/>
      <c r="G3" s="3" t="str">
        <v>Игорь / Codex по указанному следующему шагу</v>
      </c>
      <c r="H3" s="3" t="str">
        <v>Сохранить результат; повторить после изменения затронутой реализации.</v>
      </c>
      <c r="I3" s="3" t="str">
        <v>SUP-CONFLICT-01</v>
      </c>
      <c r="J3" s="3" t="str">
        <v>2 файлов. Основное: evidence/originals/support-conflict-retained.jpg
Полный список: лист Источники</v>
      </c>
      <c r="K3" s="3" t="str">
        <v>sources/TZ.md</v>
      </c>
      <c r="L3" s="3" t="str">
        <v>Доказательство</v>
      </c>
    </row>
    <row r="4" ht="47.599998474121094" hidden="0" customHeight="1">
      <c r="A4" s="3" t="str">
        <v>SUP-RETRY-01</v>
      </c>
      <c r="B4" s="3" t="str">
        <v>После конфликта обновить страницу и Retry the same operation</v>
      </c>
      <c r="C4" s="3" t="str">
        <v>FAIL</v>
      </c>
      <c r="D4" s="3" t="str">
        <v>Критерий: Штатный retry после обновления отправляет один сохранённый ответ
Доказано: После reload черновик восстановлен, но и Отправить ответ, и Retry same operation повторяют changed while editing; клиентская запись отсутствует, текст остаётся.</v>
      </c>
      <c r="E4" s="3" t="str"/>
      <c r="F4" s="3" t="str"/>
      <c r="G4" s="3" t="str">
        <v>Игорь / Codex по указанному следующему шагу</v>
      </c>
      <c r="H4" s="3" t="str">
        <v>Исправить подтверждённый дефект и повторить те же шаги.</v>
      </c>
      <c r="I4" s="3" t="str">
        <v>SUP-RETRY-01</v>
      </c>
      <c r="J4" s="3" t="str">
        <v>2 файлов. Основное: evidence/originals/support-retry-conflict-loop.jpg
Полный список: лист Источники</v>
      </c>
      <c r="K4" s="3" t="str">
        <v>sources/TZ.md</v>
      </c>
      <c r="L4" s="3" t="str">
        <v>Доказательство</v>
      </c>
    </row>
    <row r="5" ht="47.599998474121094" hidden="0" customHeight="1">
      <c r="A5" s="3" t="str">
        <v>SUP-PRIVACY-01</v>
      </c>
      <c r="B5" s="3" t="str">
        <v>Поддержка пишет публичный ответ и внутреннюю заметку, клиент reload</v>
      </c>
      <c r="C5" s="3" t="str">
        <v>PASS</v>
      </c>
      <c r="D5" s="3" t="str">
        <v>Критерий: Публичный ответ виден, служебная заметка отсутствует
Доказано: Публичный PUBLIC доставлен с Unicode; INTERNAL сохранена на стороне сотрудников и отсутствует в клиентской DOM после reload.</v>
      </c>
      <c r="E5" s="3" t="str"/>
      <c r="F5" s="3" t="str"/>
      <c r="G5" s="3" t="str">
        <v>Игорь / Codex по указанному следующему шагу</v>
      </c>
      <c r="H5" s="3" t="str">
        <v>Сохранить результат; повторить после изменения затронутой реализации.</v>
      </c>
      <c r="I5" s="3" t="str">
        <v>SUP-PRIVACY-01</v>
      </c>
      <c r="J5" s="3" t="str">
        <v>1 файлов. Основное: evidence/protocol.json
Полный список: лист Источники</v>
      </c>
      <c r="K5" s="3" t="str">
        <v>sources/TZ.md</v>
      </c>
      <c r="L5" s="3" t="str">
        <v>Доказательство</v>
      </c>
    </row>
    <row r="6" ht="47.599998474121094" hidden="0" customHeight="1">
      <c r="A6" s="3" t="str">
        <v>SUP-CLOSE-01</v>
      </c>
      <c r="B6" s="3" t="str">
        <v>Закрыть → Keep open с черновиком → reload → подтвердить закрытие</v>
      </c>
      <c r="C6" s="3" t="str">
        <v>PASS</v>
      </c>
      <c r="D6" s="3" t="str">
        <v>Критерий: Отмена сохраняет draft; подтверждение закрывает; редактор исчезает; история остаётся
Доказано: Отмена сохранила CLOSE-DRAFT. После подтверждения #32 Закрыто, редактора нет, черновик показан отдельно; доступно Создать повторное обращение.</v>
      </c>
      <c r="E6" s="3" t="str"/>
      <c r="F6" s="3" t="str"/>
      <c r="G6" s="3" t="str">
        <v>Игорь / Codex по указанному следующему шагу</v>
      </c>
      <c r="H6" s="3" t="str">
        <v>Сохранить результат; повторить после изменения затронутой реализации.</v>
      </c>
      <c r="I6" s="3" t="str">
        <v>SUP-CLOSE-01</v>
      </c>
      <c r="J6" s="3" t="str">
        <v>1 файлов. Основное: evidence/protocol.json
Полный список: лист Источники</v>
      </c>
      <c r="K6" s="3" t="str">
        <v>sources/TZ.md</v>
      </c>
      <c r="L6" s="3" t="str">
        <v>Доказательство</v>
      </c>
    </row>
    <row r="7" ht="47.599998474121094" hidden="0" customHeight="1">
      <c r="A7" s="3" t="str">
        <v>SUP-FOLLOWUP-01</v>
      </c>
      <c r="B7" s="3" t="str">
        <v>Создать повторное по закрытому #32; ответить в #33; readback сотрудником</v>
      </c>
      <c r="C7" s="3" t="str">
        <v>PASS</v>
      </c>
      <c r="D7" s="3" t="str">
        <v>Критерий: Новый связанный тикет, закрытый не меняется; ответ клиента сохраняется
Доказано: Создан #33 Follow-up с ссылкой на #32, ответ REPLY33 доставлен сотруднику. Ошибка retry в #32 не воспроизвелась в новом тикете без конфликта.</v>
      </c>
      <c r="E7" s="3" t="str"/>
      <c r="F7" s="3" t="str"/>
      <c r="G7" s="3" t="str">
        <v>Игорь / Codex по указанному следующему шагу</v>
      </c>
      <c r="H7" s="3" t="str">
        <v>Сохранить результат; повторить после изменения затронутой реализации.</v>
      </c>
      <c r="I7" s="3" t="str">
        <v>SUP-FOLLOWUP-01</v>
      </c>
      <c r="J7" s="3" t="str">
        <v>1 файлов. Основное: evidence/protocol.json
Полный список: лист Источники</v>
      </c>
      <c r="K7" s="3" t="str">
        <v>sources/TZ.md</v>
      </c>
      <c r="L7" s="3" t="str">
        <v>Доказательство</v>
      </c>
    </row>
    <row r="8" ht="47.599998474121094" hidden="0" customHeight="1">
      <c r="A8" s="3" t="str">
        <v>SUP-FILE-LIMIT-01</v>
      </c>
      <c r="B8" s="3" t="str">
        <v>EXE, 11 TXT, отдельный 16MiB, три по 11MiB в форме без submit</v>
      </c>
      <c r="C8" s="3" t="str">
        <v>PASS</v>
      </c>
      <c r="D8" s="3" t="str">
        <v>Критерий: ≤10 файлов, ≤15MiB каждый, ≤30MiB сумма; понятные отказы
Доказано: EXE отклонён явно, 11 ограничены 10 с пояснением; 16MiB отклонён с именем/лимитом15; 33MiB ограничены22MiB и показан лимит30. Очередь очищена, третий тикет не создан.</v>
      </c>
      <c r="E8" s="3" t="str"/>
      <c r="F8" s="3" t="str"/>
      <c r="G8" s="3" t="str">
        <v>Игорь / Codex по указанному следующему шагу</v>
      </c>
      <c r="H8" s="3" t="str">
        <v>Сохранить результат; повторить после изменения затронутой реализации.</v>
      </c>
      <c r="I8" s="3" t="str">
        <v>SUP-FILE-LIMIT-01</v>
      </c>
      <c r="J8" s="3" t="str">
        <v>2 файлов. Основное: evidence/originals/support-total-limit.jpg
Полный список: лист Источники</v>
      </c>
      <c r="K8" s="3" t="str">
        <v>sources/TZ.md</v>
      </c>
      <c r="L8" s="3" t="str">
        <v>Доказательство</v>
      </c>
    </row>
    <row r="9" ht="47.599998474121094" hidden="0" customHeight="1">
      <c r="A9" s="3" t="str">
        <v>SUP-LIST-01</v>
      </c>
      <c r="B9" s="3" t="str">
        <v>Открыть Мои обращения с контекстом #56</v>
      </c>
      <c r="C9" s="3" t="str">
        <v>PASS</v>
      </c>
      <c r="D9" s="3" t="str">
        <v>Критерий: Новые тикеты присутствуют один раз, статусы и последний ответ верны
Доказано: В списке #33 и #32 по одной строке, оба Закрыто, показаны REPLY33 и PUBLIC; контекст разговора сохранён.</v>
      </c>
      <c r="E9" s="3" t="str"/>
      <c r="F9" s="3" t="str"/>
      <c r="G9" s="3" t="str">
        <v>Игорь / Codex по указанному следующему шагу</v>
      </c>
      <c r="H9" s="3" t="str">
        <v>Сохранить результат; повторить после изменения затронутой реализации.</v>
      </c>
      <c r="I9" s="3" t="str">
        <v>SUP-LIST-01</v>
      </c>
      <c r="J9" s="3" t="str">
        <v>2 файлов. Основное: evidence/originals/support-list-closed.jpg
Полный список: лист Источники</v>
      </c>
      <c r="K9" s="3" t="str">
        <v>sources/TZ.md</v>
      </c>
      <c r="L9" s="3" t="str">
        <v>Доказательство</v>
      </c>
    </row>
    <row r="10" ht="47.599998474121094" hidden="0" customHeight="1">
      <c r="A10" s="3" t="str">
        <v>SUP-UI-01</v>
      </c>
      <c r="B10" s="3" t="str">
        <v>Закрытый тикет #33 при 360 CSS px</v>
      </c>
      <c r="C10" s="3" t="str">
        <v>FAIL</v>
      </c>
      <c r="D10" s="3" t="str">
        <v>Критерий: Нет горизонтального скролла страницы
Доказано: documentElement clientWidth=345, scrollWidth=350, видна горизонтальная полоса. Переполнение 5px.</v>
      </c>
      <c r="E10" s="3" t="str"/>
      <c r="F10" s="3" t="str"/>
      <c r="G10" s="3" t="str">
        <v>Игорь / Codex по указанному следующему шагу</v>
      </c>
      <c r="H10" s="3" t="str">
        <v>Исправить подтверждённый дефект и повторить те же шаги.</v>
      </c>
      <c r="I10" s="3" t="str">
        <v>SUP-UI-01</v>
      </c>
      <c r="J10" s="3" t="str">
        <v>3 файлов. Основное: evidence/originals/support-closed-360.png
Полный список: лист Источники</v>
      </c>
      <c r="K10" s="3" t="str">
        <v>sources/TZ.md</v>
      </c>
      <c r="L10" s="3" t="str">
        <v>Доказательство</v>
      </c>
    </row>
    <row r="11" ht="47.599998474121094" hidden="0" customHeight="1">
      <c r="A11" s="3" t="str">
        <v>SUP-RU-01</v>
      </c>
      <c r="B11" s="3" t="str">
        <v>RU-поддержка: Help/create/reply/close</v>
      </c>
      <c r="C11" s="3" t="str">
        <v>FAIL</v>
      </c>
      <c r="D11" s="3" t="str">
        <v>Критерий: Элементы управления соответствуют RU-макету
Доказано: Back to conversation, Conversation with..., Add files, Keep open и ошибки восстановления написаны по-английски.</v>
      </c>
      <c r="E11" s="3" t="str"/>
      <c r="F11" s="3" t="str"/>
      <c r="G11" s="3" t="str">
        <v>Игорь / Codex по указанному следующему шагу</v>
      </c>
      <c r="H11" s="3" t="str">
        <v>Исправить подтверждённый дефект и повторить те же шаги.</v>
      </c>
      <c r="I11" s="3" t="str">
        <v>SUP-RU-01</v>
      </c>
      <c r="J11" s="3" t="str">
        <v>3 файлов. Основное: evidence/originals/support-closed-360.png
Полный список: лист Источники</v>
      </c>
      <c r="K11" s="3" t="str">
        <v>sources/TZ.md</v>
      </c>
      <c r="L11" s="3" t="str">
        <v>Доказательство</v>
      </c>
    </row>
    <row r="12" ht="34.400001525878906" hidden="0" customHeight="1">
      <c r="A12" s="3" t="str">
        <v>SUP-ACL-01</v>
      </c>
      <c r="B12" s="3" t="str">
        <v>Чужой тикет и приватные вложения</v>
      </c>
      <c r="C12" s="3" t="str">
        <v>NOT_RUN</v>
      </c>
      <c r="D12" s="3" t="str">
        <v>Критерий: Другой клиент не получает тикет/вложение и служебную заметку.
Доказано: Не выполнялось</v>
      </c>
      <c r="E12" s="3" t="str">
        <v>Другой клиент не получает тикет/вложение и служебную заметку.</v>
      </c>
      <c r="F12" s="3" t="str">
        <v>INTERNAL скрыта от владельца #189; второй клиент и отрицательный прямой URL-контроль не выполнялись.</v>
      </c>
      <c r="G12" s="3" t="str">
        <v>Игорь / Codex по указанному следующему шагу</v>
      </c>
      <c r="H12" s="3" t="str">
        <v>Игорь: подготовить второй ограниченный аккаунт и контрольный тикет; Codex: выполнить отрицательный readback.</v>
      </c>
      <c r="I12" s="3" t="str">
        <v>SUP-ACL-01</v>
      </c>
      <c r="J12" s="3" t="str"/>
      <c r="K12" s="3" t="str">
        <v>sources/TZ.md</v>
      </c>
      <c r="L12" s="3" t="str">
        <v>Разбор Игоря</v>
      </c>
    </row>
    <row r="13" ht="34.400001525878906" hidden="0" customHeight="1">
      <c r="A13" s="3" t="str">
        <v>SUP-DEVICE-01</v>
      </c>
      <c r="B13" s="3" t="str">
        <v>Физические мобильные устройства поддержки</v>
      </c>
      <c r="C13" s="3" t="str">
        <v>NOT_RUN</v>
      </c>
      <c r="D13" s="3" t="str">
        <v>Критерий: Создание, вложение, reply/close/back проходят на физических iPhone/Android.
Доказано: Не выполнялось</v>
      </c>
      <c r="E13" s="3" t="str">
        <v>Создание, вложение, reply/close/back проходят на физических iPhone/Android.</v>
      </c>
      <c r="F13" s="3" t="str">
        <v>Проверены только CSS viewport и desktop browser; реальные устройства не доступны в текущем контуре.</v>
      </c>
      <c r="G13" s="3" t="str">
        <v>Игорь / Codex по указанному следующему шагу</v>
      </c>
      <c r="H13" s="3" t="str">
        <v>Codex: проверить физические устройства с независимым получателем.</v>
      </c>
      <c r="I13" s="3" t="str">
        <v>SUP-DEVICE-01</v>
      </c>
      <c r="J13" s="3" t="str"/>
      <c r="K13" s="3" t="str">
        <v>sources/TZ.md</v>
      </c>
      <c r="L13" s="3" t="str">
        <v>Разбор Игоря</v>
      </c>
    </row>
    <row r="14" ht="34.400001525878906" hidden="0" customHeight="1">
      <c r="A14" s="3" t="str">
        <v>SUP-SERVER-01</v>
      </c>
      <c r="B14" s="3" t="str">
        <v>Серверные лимиты, повтор submit и ошибки хранения</v>
      </c>
      <c r="C14" s="3" t="str">
        <v>NOT_RUN</v>
      </c>
      <c r="D14" s="3" t="str">
        <v>Критерий: Сервер сам ограничивает размер/типы, при сбое нет сирот/дубликатов.
Доказано: Не выполнялось</v>
      </c>
      <c r="E14" s="3" t="str">
        <v>Сервер сам ограничивает размер/типы, при сбое нет сирот/дубликатов.</v>
      </c>
      <c r="F14" s="3" t="str">
        <v>11/16MiB/33MiB и EXE проверены через UI. Обход браузерной валидации и отказы хранилища не выполнялись.</v>
      </c>
      <c r="G14" s="3" t="str">
        <v>Игорь / Codex по указанному следующему шагу</v>
      </c>
      <c r="H14" s="3" t="str">
        <v>Игорь: дать документированный изолированный server fixture; Codex: проверить журнал и отсутствие записей.</v>
      </c>
      <c r="I14" s="3" t="str">
        <v>SUP-SERVER-01</v>
      </c>
      <c r="J14" s="3" t="str"/>
      <c r="K14" s="3" t="str">
        <v>sources/TZ.md</v>
      </c>
      <c r="L14" s="3" t="str">
        <v>Разбор Игоря</v>
      </c>
    </row>
  </sheetData>
  <hyperlinks>
    <hyperlink ref="L2" r:id="qaAuditLink1"/>
    <hyperlink ref="L3" r:id="qaAuditLink2"/>
    <hyperlink ref="L4" r:id="qaAuditLink3"/>
    <hyperlink ref="L5" r:id="qaAuditLink4"/>
    <hyperlink ref="L6" r:id="qaAuditLink5"/>
    <hyperlink ref="L7" r:id="qaAuditLink6"/>
    <hyperlink ref="L8" r:id="qaAuditLink7"/>
    <hyperlink ref="L9" r:id="qaAuditLink8"/>
    <hyperlink ref="L10" r:id="qaAuditLink9"/>
    <hyperlink ref="L11" r:id="qaAuditLink10"/>
    <hyperlink ref="L12" r:id="qaAuditLink11"/>
    <hyperlink ref="L13" r:id="qaAuditLink12"/>
    <hyperlink ref="L14" r:id="qaAuditLink13"/>
  </hyperlinks>
  <pageMargins left="0.7" right="0.7" top="0.75" bottom="0.75" header="0.3" footer="0.3"/>
  <tableParts count="1">
    <tablePart r:id="R844baf87cd9c431f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hidden="0" customWidth="1"/>
    <col min="2" max="2" width="42" hidden="0" customWidth="1"/>
    <col min="3" max="3" width="75" hidden="0" customWidth="1"/>
    <col min="4" max="4" width="28" hidden="0" customWidth="1"/>
    <col min="5" max="5" width="18" hidden="0" customWidth="1"/>
    <col min="6" max="6" width="100" hidden="0" customWidth="1"/>
    <col min="7" max="7" width="68" hidden="0" customWidth="1"/>
    <col min="8" max="8" width="28" hidden="0" customWidth="1"/>
    <col min="9" max="9" width="60" hidden="0" customWidth="1"/>
    <col min="10" max="10" width="24" hidden="0" customWidth="1"/>
    <col min="11" max="11" width="64" hidden="0" customWidth="1"/>
    <col min="12" max="12" width="72" hidden="0" customWidth="1"/>
    <col min="13" max="13" width="78" hidden="0" customWidth="1"/>
    <col min="14" max="14" width="26" hidden="0" customWidth="1"/>
  </cols>
  <sheetData>
    <row r="1" ht="23" hidden="0" customHeight="1">
      <c r="A1" s="6" t="str">
        <v>ID</v>
      </c>
      <c r="B1" s="6" t="str">
        <v>Сценарий</v>
      </c>
      <c r="C1" s="6" t="str">
        <v>Ожидание</v>
      </c>
      <c r="D1" s="6" t="str">
        <v>Роли</v>
      </c>
      <c r="E1" s="6" t="str">
        <v>Результат</v>
      </c>
      <c r="F1" s="6" t="str">
        <v>Факт исходного прохода / причина</v>
      </c>
      <c r="G1" s="6" t="str">
        <v>Шаги</v>
      </c>
      <c r="H1" s="6" t="str">
        <v>Дата проверки UTC</v>
      </c>
      <c r="I1" s="6" t="str">
        <v>URL</v>
      </c>
      <c r="J1" s="6" t="str">
        <v>Прежний статус16.10</v>
      </c>
      <c r="K1" s="6" t="str">
        <v>Доказательства</v>
      </c>
      <c r="L1" s="6" t="str">
        <v>Источник</v>
      </c>
      <c r="M1" s="6" t="str">
        <v>Граница / следующий шаг</v>
      </c>
      <c r="N1" s="6" t="str">
        <v>Открыть</v>
      </c>
    </row>
    <row r="2" ht="34.400001525878906" hidden="0" customHeight="1">
      <c r="A2" s="3" t="str">
        <v>SUP-CREATE-01</v>
      </c>
      <c r="B2" s="3" t="str">
        <v>Открыть Help из paused #56/session #26, пустая отправка, EXE и TXT, одна отправка</v>
      </c>
      <c r="C2" s="3" t="str">
        <v>Категория и связь сохранены, обязательные поля/запрещённый тип отклонены, один тикет</v>
      </c>
      <c r="D2" s="3" t="str">
        <v>Клиент #189</v>
      </c>
      <c r="E2" s="3" t="str">
        <v>PASS</v>
      </c>
      <c r="F2" s="3" t="str">
        <v>Создан #32, категория консультация, связь #56/#26 и операция #266, TXT #9 доступен. Пустые title/description блокируются; EXE явно отклонён; введённый текст сохранён.</v>
      </c>
      <c r="G2" s="3" t="str">
        <v>Открыть Help из paused #56/session #26, пустая отправка, EXE и TXT, одна отправка</v>
      </c>
      <c r="H2" s="8" t="d">
        <v>2026-10-28T14:35:18.541Z</v>
      </c>
      <c r="I2" s="3" t="str">
        <v>https://confideline.com/ru/support/requests/32</v>
      </c>
      <c r="J2" s="3" t="str">
        <v>Не выполнялся</v>
      </c>
      <c r="K2" s="3" t="str">
        <v>2 файлов. Основное: evidence/originals/support-create-bound.jpg
Полный список: лист Источники</v>
      </c>
      <c r="L2" s="3" t="str">
        <v>sources/TZ.md</v>
      </c>
      <c r="M2" s="3" t="str">
        <v>Результат ограничен указанными шагами и текущей сборкой; server commit не предоставлен.</v>
      </c>
      <c r="N2" s="3" t="str">
        <v>Доказательство</v>
      </c>
    </row>
    <row r="3" ht="34.400001525878906" hidden="0" customHeight="1">
      <c r="A3" s="3" t="str">
        <v>SUP-CONFLICT-01</v>
      </c>
      <c r="B3" s="3" t="str">
        <v>Одновременное назначение тикета оператором и ответ клиента из старой версии</v>
      </c>
      <c r="C3" s="3" t="str">
        <v>Конфликт версии не создаёт дубликат, текст и файлы остаются</v>
      </c>
      <c r="D3" s="3" t="str">
        <v>Клиент #189 + Kristy #12</v>
      </c>
      <c r="E3" s="3" t="str">
        <v>PASS</v>
      </c>
      <c r="F3" s="3" t="str">
        <v>Сервер отклонил устаревшую версию: changed while editing, request not sent, text/files kept. Текст ответа клиента остался в редакторе, показан Retry same operation.</v>
      </c>
      <c r="G3" s="3" t="str">
        <v>Одновременное назначение тикета оператором и ответ клиента из старой версии</v>
      </c>
      <c r="H3" s="8" t="d">
        <v>2026-10-28T14:36:13.300Z</v>
      </c>
      <c r="I3" s="3" t="str">
        <v>https://confideline.com/ru/support/requests/32</v>
      </c>
      <c r="J3" s="3" t="str">
        <v>Не выполнялся</v>
      </c>
      <c r="K3" s="3" t="str">
        <v>2 файлов. Основное: evidence/originals/support-conflict-retained.jpg
Полный список: лист Источники</v>
      </c>
      <c r="L3" s="3" t="str">
        <v>sources/TZ.md</v>
      </c>
      <c r="M3" s="3" t="str">
        <v>Результат ограничен указанными шагами и текущей сборкой; server commit не предоставлен.</v>
      </c>
      <c r="N3" s="3" t="str">
        <v>Доказательство</v>
      </c>
    </row>
    <row r="4" ht="34.400001525878906" hidden="0" customHeight="1">
      <c r="A4" s="3" t="str">
        <v>SUP-RETRY-01</v>
      </c>
      <c r="B4" s="3" t="str">
        <v>После конфликта обновить страницу и Retry the same operation</v>
      </c>
      <c r="C4" s="3" t="str">
        <v>Штатный retry после обновления отправляет один сохранённый ответ</v>
      </c>
      <c r="D4" s="3" t="str">
        <v>Клиент #189</v>
      </c>
      <c r="E4" s="3" t="str">
        <v>FAIL</v>
      </c>
      <c r="F4" s="3" t="str">
        <v>После reload черновик восстановлен, но и Отправить ответ, и Retry same operation повторяют changed while editing; клиентская запись отсутствует, текст остаётся.</v>
      </c>
      <c r="G4" s="3" t="str">
        <v>После конфликта обновить страницу и Retry the same operation</v>
      </c>
      <c r="H4" s="8" t="d">
        <v>2026-10-28T14:37:14.983Z</v>
      </c>
      <c r="I4" s="3" t="str">
        <v>https://confideline.com/ru/support/requests/32</v>
      </c>
      <c r="J4" s="3" t="str">
        <v>Не выполнялся</v>
      </c>
      <c r="K4" s="3" t="str">
        <v>2 файлов. Основное: evidence/originals/support-retry-conflict-loop.jpg
Полный список: лист Источники</v>
      </c>
      <c r="L4" s="3" t="str">
        <v>sources/TZ.md</v>
      </c>
      <c r="M4" s="3" t="str">
        <v>Результат ограничен указанными шагами и текущей сборкой; server commit не предоставлен.</v>
      </c>
      <c r="N4" s="3" t="str">
        <v>Доказательство</v>
      </c>
    </row>
    <row r="5" ht="34.400001525878906" hidden="0" customHeight="1">
      <c r="A5" s="3" t="str">
        <v>SUP-PRIVACY-01</v>
      </c>
      <c r="B5" s="3" t="str">
        <v>Поддержка пишет публичный ответ и внутреннюю заметку, клиент reload</v>
      </c>
      <c r="C5" s="3" t="str">
        <v>Публичный ответ виден, служебная заметка отсутствует</v>
      </c>
      <c r="D5" s="3" t="str">
        <v>Клиент #189 + Kristy #12</v>
      </c>
      <c r="E5" s="3" t="str">
        <v>PASS</v>
      </c>
      <c r="F5" s="3" t="str">
        <v>Публичный PUBLIC доставлен с Unicode; INTERNAL сохранена на стороне сотрудников и отсутствует в клиентской DOM после reload.</v>
      </c>
      <c r="G5" s="3" t="str">
        <v>Поддержка пишет публичный ответ и внутреннюю заметку, клиент reload</v>
      </c>
      <c r="H5" s="8" t="d">
        <v>2026-10-28T14:37:28.131Z</v>
      </c>
      <c r="I5" s="3" t="str">
        <v>https://confideline.com/ru/support/requests/32</v>
      </c>
      <c r="J5" s="3" t="str">
        <v>Не выполнялся</v>
      </c>
      <c r="K5" s="3" t="str">
        <v>1 файлов. Основное: evidence/protocol.json
Полный список: лист Источники</v>
      </c>
      <c r="L5" s="3" t="str">
        <v>sources/TZ.md</v>
      </c>
      <c r="M5" s="3" t="str">
        <v>Результат ограничен указанными шагами и текущей сборкой; server commit не предоставлен.</v>
      </c>
      <c r="N5" s="3" t="str">
        <v>Доказательство</v>
      </c>
    </row>
    <row r="6" ht="34.400001525878906" hidden="0" customHeight="1">
      <c r="A6" s="3" t="str">
        <v>SUP-CLOSE-01</v>
      </c>
      <c r="B6" s="3" t="str">
        <v>Закрыть → Keep open с черновиком → reload → подтвердить закрытие</v>
      </c>
      <c r="C6" s="3" t="str">
        <v>Отмена сохраняет draft; подтверждение закрывает; редактор исчезает; история остаётся</v>
      </c>
      <c r="D6" s="3" t="str">
        <v>Клиент #189</v>
      </c>
      <c r="E6" s="3" t="str">
        <v>PASS</v>
      </c>
      <c r="F6" s="3" t="str">
        <v>Отмена сохранила CLOSE-DRAFT. После подтверждения #32 Закрыто, редактора нет, черновик показан отдельно; доступно Создать повторное обращение.</v>
      </c>
      <c r="G6" s="3" t="str">
        <v>Закрыть → Keep open с черновиком → reload → подтвердить закрытие</v>
      </c>
      <c r="H6" s="8" t="d">
        <v>2026-10-28T14:40:41.737Z</v>
      </c>
      <c r="I6" s="3" t="str">
        <v>https://confideline.com/ru/support/requests/32</v>
      </c>
      <c r="J6" s="3" t="str">
        <v>Не выполнялся</v>
      </c>
      <c r="K6" s="3" t="str">
        <v>1 файлов. Основное: evidence/protocol.json
Полный список: лист Источники</v>
      </c>
      <c r="L6" s="3" t="str">
        <v>sources/TZ.md</v>
      </c>
      <c r="M6" s="3" t="str">
        <v>Результат ограничен указанными шагами и текущей сборкой; server commit не предоставлен.</v>
      </c>
      <c r="N6" s="3" t="str">
        <v>Доказательство</v>
      </c>
    </row>
    <row r="7" ht="34.400001525878906" hidden="0" customHeight="1">
      <c r="A7" s="3" t="str">
        <v>SUP-FOLLOWUP-01</v>
      </c>
      <c r="B7" s="3" t="str">
        <v>Создать повторное по закрытому #32; ответить в #33; readback сотрудником</v>
      </c>
      <c r="C7" s="3" t="str">
        <v>Новый связанный тикет, закрытый не меняется; ответ клиента сохраняется</v>
      </c>
      <c r="D7" s="3" t="str">
        <v>Клиент #189 + Kristy #12</v>
      </c>
      <c r="E7" s="3" t="str">
        <v>PASS</v>
      </c>
      <c r="F7" s="3" t="str">
        <v>Создан #33 Follow-up с ссылкой на #32, ответ REPLY33 доставлен сотруднику. Ошибка retry в #32 не воспроизвелась в новом тикете без конфликта.</v>
      </c>
      <c r="G7" s="3" t="str">
        <v>Создать повторное по закрытому #32; ответить в #33; readback сотрудником</v>
      </c>
      <c r="H7" s="8" t="d">
        <v>2026-10-28T14:45:59.876Z</v>
      </c>
      <c r="I7" s="3" t="str">
        <v>https://confideline.com/ru/support/requests/33</v>
      </c>
      <c r="J7" s="3" t="str">
        <v>Не выполнялся</v>
      </c>
      <c r="K7" s="3" t="str">
        <v>1 файлов. Основное: evidence/protocol.json
Полный список: лист Источники</v>
      </c>
      <c r="L7" s="3" t="str">
        <v>sources/TZ.md</v>
      </c>
      <c r="M7" s="3" t="str">
        <v>Результат ограничен указанными шагами и текущей сборкой; server commit не предоставлен.</v>
      </c>
      <c r="N7" s="3" t="str">
        <v>Доказательство</v>
      </c>
    </row>
    <row r="8" ht="34.400001525878906" hidden="0" customHeight="1">
      <c r="A8" s="3" t="str">
        <v>SUP-FILE-LIMIT-01</v>
      </c>
      <c r="B8" s="3" t="str">
        <v>EXE, 11 TXT, отдельный 16MiB, три по 11MiB в форме без submit</v>
      </c>
      <c r="C8" s="3" t="str">
        <v>≤10 файлов, ≤15MiB каждый, ≤30MiB сумма; понятные отказы</v>
      </c>
      <c r="D8" s="3" t="str">
        <v>Клиент #189</v>
      </c>
      <c r="E8" s="3" t="str">
        <v>PASS</v>
      </c>
      <c r="F8" s="3" t="str">
        <v>EXE отклонён явно, 11 ограничены 10 с пояснением; 16MiB отклонён с именем/лимитом15; 33MiB ограничены22MiB и показан лимит30. Очередь очищена, третий тикет не создан.</v>
      </c>
      <c r="G8" s="3" t="str">
        <v>EXE, 11 TXT, отдельный 16MiB, три по 11MiB в форме без submit</v>
      </c>
      <c r="H8" s="8" t="d">
        <v>2026-10-28T14:59:38.206Z</v>
      </c>
      <c r="I8" s="3" t="str">
        <v>https://confideline.com/ru/support/requests/33</v>
      </c>
      <c r="J8" s="3" t="str">
        <v>Не выполнялся</v>
      </c>
      <c r="K8" s="3" t="str">
        <v>2 файлов. Основное: evidence/originals/support-total-limit.jpg
Полный список: лист Источники</v>
      </c>
      <c r="L8" s="3" t="str">
        <v>sources/TZ.md</v>
      </c>
      <c r="M8" s="3" t="str">
        <v>Результат ограничен указанными шагами и текущей сборкой; server commit не предоставлен.</v>
      </c>
      <c r="N8" s="3" t="str">
        <v>Доказательство</v>
      </c>
    </row>
    <row r="9" ht="34.400001525878906" hidden="0" customHeight="1">
      <c r="A9" s="3" t="str">
        <v>SUP-LIST-01</v>
      </c>
      <c r="B9" s="3" t="str">
        <v>Открыть Мои обращения с контекстом #56</v>
      </c>
      <c r="C9" s="3" t="str">
        <v>Новые тикеты присутствуют один раз, статусы и последний ответ верны</v>
      </c>
      <c r="D9" s="3" t="str">
        <v>Клиент #189</v>
      </c>
      <c r="E9" s="3" t="str">
        <v>PASS</v>
      </c>
      <c r="F9" s="3" t="str">
        <v>В списке #33 и #32 по одной строке, оба Закрыто, показаны REPLY33 и PUBLIC; контекст разговора сохранён.</v>
      </c>
      <c r="G9" s="3" t="str">
        <v>Открыть Мои обращения с контекстом #56</v>
      </c>
      <c r="H9" s="8" t="d">
        <v>2026-10-28T15:03:34.677Z</v>
      </c>
      <c r="I9" s="3" t="str">
        <v>https://confideline.com/ru/support?originConversationId=56&amp;originServiceSessionId=26&amp;originBalanceTransactionId=266</v>
      </c>
      <c r="J9" s="3" t="str">
        <v>Не выполнялся</v>
      </c>
      <c r="K9" s="3" t="str">
        <v>2 файлов. Основное: evidence/originals/support-list-closed.jpg
Полный список: лист Источники</v>
      </c>
      <c r="L9" s="3" t="str">
        <v>sources/TZ.md</v>
      </c>
      <c r="M9" s="3" t="str">
        <v>Результат ограничен указанными шагами и текущей сборкой; server commit не предоставлен.</v>
      </c>
      <c r="N9" s="3" t="str">
        <v>Доказательство</v>
      </c>
    </row>
    <row r="10" ht="34.400001525878906" hidden="0" customHeight="1">
      <c r="A10" s="3" t="str">
        <v>SUP-UI-01</v>
      </c>
      <c r="B10" s="3" t="str">
        <v>Закрытый тикет #33 при 360 CSS px</v>
      </c>
      <c r="C10" s="3" t="str">
        <v>Нет горизонтального скролла страницы</v>
      </c>
      <c r="D10" s="3" t="str">
        <v>Клиент #189</v>
      </c>
      <c r="E10" s="3" t="str">
        <v>FAIL</v>
      </c>
      <c r="F10" s="3" t="str">
        <v>documentElement clientWidth=345, scrollWidth=350, видна горизонтальная полоса. Переполнение 5px.</v>
      </c>
      <c r="G10" s="3" t="str">
        <v>Закрытый тикет #33 при 360 CSS px</v>
      </c>
      <c r="H10" s="8" t="d">
        <v>2026-10-28T15:08:09.962Z</v>
      </c>
      <c r="I10" s="3" t="str">
        <v>https://confideline.com/ru/support?originConversationId=56&amp;originServiceSessionId=26&amp;originBalanceTransactionId=266</v>
      </c>
      <c r="J10" s="3" t="str">
        <v>Не выполнялся</v>
      </c>
      <c r="K10" s="3" t="str">
        <v>3 файлов. Основное: evidence/originals/support-closed-360.png
Полный список: лист Источники</v>
      </c>
      <c r="L10" s="3" t="str">
        <v>sources/TZ.md</v>
      </c>
      <c r="M10" s="3" t="str">
        <v>Результат ограничен указанными шагами и текущей сборкой; server commit не предоставлен.</v>
      </c>
      <c r="N10" s="3" t="str">
        <v>Доказательство</v>
      </c>
    </row>
    <row r="11" ht="34.400001525878906" hidden="0" customHeight="1">
      <c r="A11" s="3" t="str">
        <v>SUP-RU-01</v>
      </c>
      <c r="B11" s="3" t="str">
        <v>RU-поддержка: Help/create/reply/close</v>
      </c>
      <c r="C11" s="3" t="str">
        <v>Элементы управления соответствуют RU-макету</v>
      </c>
      <c r="D11" s="3" t="str">
        <v>Клиент #189</v>
      </c>
      <c r="E11" s="3" t="str">
        <v>FAIL</v>
      </c>
      <c r="F11" s="3" t="str">
        <v>Back to conversation, Conversation with..., Add files, Keep open и ошибки восстановления написаны по-английски.</v>
      </c>
      <c r="G11" s="3" t="str">
        <v>RU-поддержка: Help/create/reply/close</v>
      </c>
      <c r="H11" s="8" t="d">
        <v>2026-10-28T15:08:20.660Z</v>
      </c>
      <c r="I11" s="3" t="str">
        <v>https://confideline.com/ru/support?originConversationId=56&amp;originServiceSessionId=26&amp;originBalanceTransactionId=266</v>
      </c>
      <c r="J11" s="3" t="str">
        <v>Не выполнялся</v>
      </c>
      <c r="K11" s="3" t="str">
        <v>3 файлов. Основное: evidence/originals/support-closed-360.png
Полный список: лист Источники</v>
      </c>
      <c r="L11" s="3" t="str">
        <v>sources/TZ.md</v>
      </c>
      <c r="M11" s="3" t="str">
        <v>Результат ограничен указанными шагами и текущей сборкой; server commit не предоставлен.</v>
      </c>
      <c r="N11" s="3" t="str">
        <v>Доказательство</v>
      </c>
    </row>
    <row r="12" ht="47.599998474121094" hidden="0" customHeight="1">
      <c r="A12" s="3" t="str">
        <v>SUP-ACL-01</v>
      </c>
      <c r="B12" s="3" t="str">
        <v>Чужой тикет и приватные вложения</v>
      </c>
      <c r="C12" s="3" t="str">
        <v>Другой клиент не получает тикет/вложение и служебную заметку.</v>
      </c>
      <c r="D12" s="3" t="str">
        <v>Клиент/назначенный оператор/второй контрольный клиент по критерию</v>
      </c>
      <c r="E12" s="3" t="str">
        <v>NOT_RUN</v>
      </c>
      <c r="F12" s="3" t="str">
        <v>INTERNAL скрыта от владельца #189; второй клиент и отрицательный прямой URL-контроль не выполнялись.</v>
      </c>
      <c r="G12" s="3" t="str"/>
      <c r="H12" s="8" t="str"/>
      <c r="I12" s="3" t="str">
        <v>https://confideline.com/ru/support</v>
      </c>
      <c r="J12" s="3" t="str">
        <v>Не выполнялся</v>
      </c>
      <c r="K12" s="3" t="str"/>
      <c r="L12" s="3" t="str">
        <v>sources/TZ.md</v>
      </c>
      <c r="M12" s="3" t="str">
        <v>INTERNAL скрыта от владельца #189; второй клиент и отрицательный прямой URL-контроль не выполнялись.</v>
      </c>
      <c r="N12" s="3" t="str">
        <v>Требование</v>
      </c>
    </row>
    <row r="13" ht="47.599998474121094" hidden="0" customHeight="1">
      <c r="A13" s="3" t="str">
        <v>SUP-DEVICE-01</v>
      </c>
      <c r="B13" s="3" t="str">
        <v>Физические мобильные устройства поддержки</v>
      </c>
      <c r="C13" s="3" t="str">
        <v>Создание, вложение, reply/close/back проходят на физических iPhone/Android.</v>
      </c>
      <c r="D13" s="3" t="str">
        <v>Клиент/назначенный оператор/второй контрольный клиент по критерию</v>
      </c>
      <c r="E13" s="3" t="str">
        <v>NOT_RUN</v>
      </c>
      <c r="F13" s="3" t="str">
        <v>Проверены только CSS viewport и desktop browser; реальные устройства не доступны в текущем контуре.</v>
      </c>
      <c r="G13" s="3" t="str"/>
      <c r="H13" s="8" t="str"/>
      <c r="I13" s="3" t="str">
        <v>https://confideline.com/ru/support</v>
      </c>
      <c r="J13" s="3" t="str">
        <v>Не выполнялся</v>
      </c>
      <c r="K13" s="3" t="str"/>
      <c r="L13" s="3" t="str">
        <v>sources/TZ.md</v>
      </c>
      <c r="M13" s="3" t="str">
        <v>Проверены только CSS viewport и desktop browser; реальные устройства не доступны в текущем контуре.</v>
      </c>
      <c r="N13" s="3" t="str">
        <v>Требование</v>
      </c>
    </row>
    <row r="14" ht="47.599998474121094" hidden="0" customHeight="1">
      <c r="A14" s="3" t="str">
        <v>SUP-SERVER-01</v>
      </c>
      <c r="B14" s="3" t="str">
        <v>Серверные лимиты, повтор submit и ошибки хранения</v>
      </c>
      <c r="C14" s="3" t="str">
        <v>Сервер сам ограничивает размер/типы, при сбое нет сирот/дубликатов.</v>
      </c>
      <c r="D14" s="3" t="str">
        <v>Клиент/назначенный оператор/второй контрольный клиент по критерию</v>
      </c>
      <c r="E14" s="3" t="str">
        <v>NOT_RUN</v>
      </c>
      <c r="F14" s="3" t="str">
        <v>11/16MiB/33MiB и EXE проверены через UI. Обход браузерной валидации и отказы хранилища не выполнялись.</v>
      </c>
      <c r="G14" s="3" t="str"/>
      <c r="H14" s="8" t="str"/>
      <c r="I14" s="3" t="str">
        <v>https://confideline.com/ru/support</v>
      </c>
      <c r="J14" s="3" t="str">
        <v>Не выполнялся</v>
      </c>
      <c r="K14" s="3" t="str"/>
      <c r="L14" s="3" t="str">
        <v>sources/TZ.md</v>
      </c>
      <c r="M14" s="3" t="str">
        <v>11/16MiB/33MiB и EXE проверены через UI. Обход браузерной валидации и отказы хранилища не выполнялись.</v>
      </c>
      <c r="N14" s="3" t="str">
        <v>Требование</v>
      </c>
    </row>
  </sheetData>
  <conditionalFormatting sqref="E2:E14">
    <cfRule type="containsText" dxfId="0" priority="1" operator="containsText" text="FAIL"/>
    <cfRule type="containsText" dxfId="1" priority="2" operator="containsText" text="BLOCKED"/>
    <cfRule type="containsText" dxfId="2" priority="3" operator="containsText" text="NOT_RUN"/>
  </conditionalFormatting>
  <dataValidations count="1">
    <dataValidation type="list" sqref="E2:E14">
      <formula1>"PASS,FAIL,BLOCKED,NOT_RUN,N/A,INVALID,WARN"</formula1>
    </dataValidation>
  </dataValidations>
  <hyperlinks>
    <hyperlink ref="N2" r:id="qaAuditLink1"/>
    <hyperlink ref="N3" r:id="qaAuditLink2"/>
    <hyperlink ref="N4" r:id="qaAuditLink3"/>
    <hyperlink ref="N5" r:id="qaAuditLink4"/>
    <hyperlink ref="N6" r:id="qaAuditLink5"/>
    <hyperlink ref="N7" r:id="qaAuditLink6"/>
    <hyperlink ref="N8" r:id="qaAuditLink7"/>
    <hyperlink ref="N9" r:id="qaAuditLink8"/>
    <hyperlink ref="N10" r:id="qaAuditLink9"/>
    <hyperlink ref="N11" r:id="qaAuditLink10"/>
    <hyperlink ref="N12" r:id="qaAuditLink11"/>
    <hyperlink ref="N13" r:id="qaAuditLink12"/>
    <hyperlink ref="N14" r:id="qaAuditLink13"/>
  </hyperlinks>
  <pageMargins left="0.7" right="0.7" top="0.75" bottom="0.75" header="0.3" footer="0.3"/>
  <tableParts count="1">
    <tablePart r:id="Rba30df876f014d28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0" hidden="0" customWidth="1"/>
    <col min="2" max="2" width="14" hidden="0" customWidth="1"/>
    <col min="3" max="3" width="48" hidden="0" customWidth="1"/>
    <col min="4" max="4" width="30" hidden="0" customWidth="1"/>
    <col min="5" max="5" width="80" hidden="0" customWidth="1"/>
    <col min="6" max="6" width="70" hidden="0" customWidth="1"/>
    <col min="7" max="7" width="80" hidden="0" customWidth="1"/>
    <col min="8" max="8" width="55" hidden="0" customWidth="1"/>
    <col min="9" max="9" width="65" hidden="0" customWidth="1"/>
    <col min="10" max="10" width="70" hidden="0" customWidth="1"/>
    <col min="11" max="11" width="65" hidden="0" customWidth="1"/>
    <col min="12" max="12" width="26" hidden="0" customWidth="1"/>
  </cols>
  <sheetData>
    <row r="1" ht="23" hidden="0" customHeight="1">
      <c r="A1" s="6" t="str">
        <v>ID</v>
      </c>
      <c r="B1" s="6" t="str">
        <v>Приоритет</v>
      </c>
      <c r="C1" s="6" t="str">
        <v>Название</v>
      </c>
      <c r="D1" s="6" t="str">
        <v>Решение</v>
      </c>
      <c r="E1" s="6" t="str">
        <v>Факт</v>
      </c>
      <c r="F1" s="6" t="str">
        <v>Ожидание</v>
      </c>
      <c r="G1" s="6" t="str">
        <v>Воспроизведение</v>
      </c>
      <c r="H1" s="6" t="str">
        <v>Роль / URL / дата</v>
      </c>
      <c r="I1" s="6" t="str">
        <v>Доказательства</v>
      </c>
      <c r="J1" s="6" t="str">
        <v>Критерии исправления</v>
      </c>
      <c r="K1" s="6" t="str">
        <v>Границы</v>
      </c>
      <c r="L1" s="6" t="str">
        <v>Открыть</v>
      </c>
    </row>
    <row r="2" ht="60.79999923706055" hidden="0" customHeight="1">
      <c r="A2" s="3" t="str">
        <v>CS-F01</v>
      </c>
      <c r="B2" s="3" t="str">
        <v>P1</v>
      </c>
      <c r="C2" s="3" t="str">
        <v>После конфликта версий ответ не восстанавливается через штатный retry</v>
      </c>
      <c r="D2" s="3" t="str">
        <v>Найден текущий дефект; причинная регрессия относительно предыдущей сборки не заявляется.</v>
      </c>
      <c r="E2" s="3" t="str">
        <v>После reload черновик восстановлен, но и Отправить ответ, и Retry same operation повторяют changed while editing; клиентская запись отсутствует, текст остаётся.</v>
      </c>
      <c r="F2" s="3" t="str">
        <v>Штатный retry после обновления отправляет один сохранённый ответ</v>
      </c>
      <c r="G2" s="3" t="str">
        <v>После конфликта обновить страницу и Retry the same operation</v>
      </c>
      <c r="H2" s="3" t="str">
        <v>Клиент #189
https://confideline.com/ru/support/requests/32
2026-10-28T14:37:14.983Z</v>
      </c>
      <c r="I2" s="3" t="str">
        <v>2 файлов. Основное: evidence/originals/support-retry-conflict-loop.jpg
Полный список: лист Источники</v>
      </c>
      <c r="J2" s="3" t="str">
        <v>Штатный retry после обновления отправляет один сохранённый ответ</v>
      </c>
      <c r="K2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2" s="3" t="str">
        <v>Доказательство</v>
      </c>
    </row>
    <row r="3" ht="60.79999923706055" hidden="0" customHeight="1">
      <c r="A3" s="3" t="str">
        <v>CS-F02</v>
      </c>
      <c r="B3" s="3" t="str">
        <v>P2</v>
      </c>
      <c r="C3" s="3" t="str">
        <v>Горизонтальное переполнение страницы поддержки на 360 px</v>
      </c>
      <c r="D3" s="3" t="str">
        <v>Найден текущий дефект; причинная регрессия относительно предыдущей сборки не заявляется.</v>
      </c>
      <c r="E3" s="3" t="str">
        <v>documentElement clientWidth=345, scrollWidth=350, видна горизонтальная полоса. Переполнение 5px.</v>
      </c>
      <c r="F3" s="3" t="str">
        <v>Нет горизонтального скролла страницы</v>
      </c>
      <c r="G3" s="3" t="str">
        <v>Закрытый тикет #33 при 360 CSS px</v>
      </c>
      <c r="H3" s="3" t="str">
        <v>Клиент #189
https://confideline.com/ru/support?originConversationId=56&amp;originServiceSessionId=26&amp;originBalanceTransactionId=266
2026-10-28T15:08:09.962Z</v>
      </c>
      <c r="I3" s="3" t="str">
        <v>3 файлов. Основное: evidence/originals/support-closed-360.png
Полный список: лист Источники</v>
      </c>
      <c r="J3" s="3" t="str">
        <v>Нет горизонтального скролла страницы</v>
      </c>
      <c r="K3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3" s="3" t="str">
        <v>Доказательство</v>
      </c>
    </row>
    <row r="4" ht="60.79999923706055" hidden="0" customHeight="1">
      <c r="A4" s="3" t="str">
        <v>CS-F03</v>
      </c>
      <c r="B4" s="3" t="str">
        <v>P2</v>
      </c>
      <c r="C4" s="3" t="str">
        <v>Английские действия и ошибки в RU-поддержке</v>
      </c>
      <c r="D4" s="3" t="str">
        <v>Найден текущий дефект; причинная регрессия относительно предыдущей сборки не заявляется.</v>
      </c>
      <c r="E4" s="3" t="str">
        <v>Back to conversation, Conversation with..., Add files, Keep open и ошибки восстановления написаны по-английски.</v>
      </c>
      <c r="F4" s="3" t="str">
        <v>Элементы управления соответствуют RU-макету</v>
      </c>
      <c r="G4" s="3" t="str">
        <v>RU-поддержка: Help/create/reply/close</v>
      </c>
      <c r="H4" s="3" t="str">
        <v>Клиент #189
https://confideline.com/ru/support?originConversationId=56&amp;originServiceSessionId=26&amp;originBalanceTransactionId=266
2026-10-28T15:08:20.660Z</v>
      </c>
      <c r="I4" s="3" t="str">
        <v>3 файлов. Основное: evidence/originals/support-closed-360.png
Полный список: лист Источники</v>
      </c>
      <c r="J4" s="3" t="str">
        <v>Элементы управления соответствуют RU-макету</v>
      </c>
      <c r="K4" s="3" t="str">
        <v>Клиентская роль подтверждена отдельно. Источник требований — переданный пакет и поздние решения владельца. Не заявляется изменение боевого CSS/кода или серверная первопричина.</v>
      </c>
      <c r="L4" s="3" t="str">
        <v>Доказательство</v>
      </c>
    </row>
  </sheetData>
  <hyperlinks>
    <hyperlink ref="L2" r:id="qaAuditLink1"/>
    <hyperlink ref="L3" r:id="qaAuditLink2"/>
    <hyperlink ref="L4" r:id="qaAuditLink3"/>
  </hyperlinks>
  <pageMargins left="0.7" right="0.7" top="0.75" bottom="0.75" header="0.3" footer="0.3"/>
  <tableParts count="1">
    <tablePart r:id="R4f3bbb0f6c624b92"/>
  </tableParts>
</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50" hidden="0" customWidth="1"/>
    <x:col min="3" max="3" width="90" hidden="0" customWidth="1"/>
    <x:col min="4" max="4" width="90" hidden="0" customWidth="1"/>
    <x:col min="5" max="5" width="75" hidden="0" customWidth="1"/>
    <x:col min="6" max="6" width="28" hidden="0" customWidth="1"/>
  </x:cols>
  <x:sheetData>
    <x:row r="1" ht="23" hidden="0" customHeight="1">
      <x:c r="A1" s="6" t="str">
        <x:v>ID</x:v>
      </x:c>
      <x:c r="B1" s="6" t="str">
        <x:v>Непроверенный критерий</x:v>
      </x:c>
      <x:c r="C1" s="6" t="str">
        <x:v>Точная причина / что известно</x:v>
      </x:c>
      <x:c r="D1" s="6" t="str">
        <x:v>Следующий шаг</x:v>
      </x:c>
      <x:c r="E1" s="6" t="str">
        <x:v>Источник</x:v>
      </x:c>
      <x:c r="F1" s="6" t="str">
        <x:v>Ответственный</x:v>
      </x:c>
    </x:row>
    <x:row r="2" ht="34.400001525878906" hidden="0" customHeight="1">
      <x:c r="A2" s="3" t="str">
        <x:v>SUP-ACL-01</x:v>
      </x:c>
      <x:c r="B2" s="3" t="str">
        <x:v>Чужой тикет и приватные вложения</x:v>
      </x:c>
      <x:c r="C2" s="3" t="str">
        <x:v>INTERNAL скрыта от владельца #189; второй клиент и отрицательный прямой URL-контроль не выполнялись.</x:v>
      </x:c>
      <x:c r="D2" s="3" t="str">
        <x:v>Игорь: подготовить второй ограниченный аккаунт и контрольный тикет; Codex: выполнить отрицательный readback.</x:v>
      </x:c>
      <x:c r="E2" s="3" t="str">
        <x:v>sources/TZ.md</x:v>
      </x:c>
      <x:c r="F2" s="3" t="str">
        <x:v>Тестер Codex</x:v>
      </x:c>
    </x:row>
    <x:row r="3" ht="34.400001525878906" hidden="0" customHeight="1">
      <x:c r="A3" s="3" t="str">
        <x:v>SUP-DEVICE-01</x:v>
      </x:c>
      <x:c r="B3" s="3" t="str">
        <x:v>Физические мобильные устройства поддержки</x:v>
      </x:c>
      <x:c r="C3" s="3" t="str">
        <x:v>Проверены только CSS viewport и desktop browser; реальные устройства не доступны в текущем контуре.</x:v>
      </x:c>
      <x:c r="D3" s="3" t="str">
        <x:v>Codex: проверить физические устройства с независимым получателем.</x:v>
      </x:c>
      <x:c r="E3" s="3" t="str">
        <x:v>sources/TZ.md</x:v>
      </x:c>
      <x:c r="F3" s="3" t="str">
        <x:v>Тестер Codex</x:v>
      </x:c>
    </x:row>
    <x:row r="4" ht="34.400001525878906" hidden="0" customHeight="1">
      <x:c r="A4" s="3" t="str">
        <x:v>SUP-SERVER-01</x:v>
      </x:c>
      <x:c r="B4" s="3" t="str">
        <x:v>Серверные лимиты, повтор submit и ошибки хранения</x:v>
      </x:c>
      <x:c r="C4" s="3" t="str">
        <x:v>11/16MiB/33MiB и EXE проверены через UI. Обход браузерной валидации и отказы хранилища не выполнялись.</x:v>
      </x:c>
      <x:c r="D4" s="3" t="str">
        <x:v>Игорь: дать документированный изолированный server fixture; Codex: проверить журнал и отсутствие записей.</x:v>
      </x:c>
      <x:c r="E4" s="3" t="str">
        <x:v>sources/TZ.md</x:v>
      </x:c>
      <x:c r="F4" s="3" t="str">
        <x:v>Тестер Codex</x:v>
      </x:c>
    </x:row>
  </x:sheetData>
  <x:pageMargins left="0.7" right="0.7" top="0.75" bottom="0.75" header="0.3" footer="0.3"/>
  <x:tableParts count="1">
    <x:tablePart xmlns:r="http://schemas.openxmlformats.org/officeDocument/2006/relationships" r:id="R6fb01c2b4dce4d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0" hidden="0" customWidth="1"/>
    <x:col min="3" max="3" width="48" hidden="0" customWidth="1"/>
    <x:col min="4" max="4" width="90" hidden="0" customWidth="1"/>
    <x:col min="5" max="5" width="78" hidden="0" customWidth="1"/>
  </x:cols>
  <x:sheetData>
    <x:row r="1" ht="23" hidden="0" customHeight="1">
      <x:c r="A1" s="6" t="str">
        <x:v>ID</x:v>
      </x:c>
      <x:c r="B1" s="6" t="str">
        <x:v>Статус</x:v>
      </x:c>
      <x:c r="C1" s="6" t="str">
        <x:v>Предмет</x:v>
      </x:c>
      <x:c r="D1" s="6" t="str">
        <x:v>Подтверждённый факт / границы</x:v>
      </x:c>
      <x:c r="E1" s="6" t="str">
        <x:v>Решение / следующий шаг</x:v>
      </x:c>
    </x:row>
    <x:row r="2" ht="23" hidden="0" customHeight="1">
      <x:c r="A2" s="3" t="str">
        <x:v>Нет новых BA-рекомендаций</x:v>
      </x:c>
      <x:c r="B2" s="3" t="str"/>
      <x:c r="C2" s="3" t="str"/>
      <x:c r="D2" s="3" t="str"/>
      <x:c r="E2" s="3" t="str"/>
    </x:row>
  </x:sheetData>
  <x:pageMargins left="0.7" right="0.7" top="0.75" bottom="0.75" header="0.3" footer="0.3"/>
  <x:tableParts count="1">
    <x:tablePart xmlns:r="http://schemas.openxmlformats.org/officeDocument/2006/relationships" r:id="Rfca6ec9b7dcc4f01"/>
  </x:tableParts>
</x: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85" hidden="0" customWidth="1"/>
    <col min="2" max="2" width="70" hidden="0" customWidth="1"/>
    <col min="3" max="3" width="75" hidden="0" customWidth="1"/>
    <col min="4" max="4" width="52" hidden="0" customWidth="1"/>
    <col min="5" max="5" width="20" hidden="0" customWidth="1"/>
  </cols>
  <sheetData>
    <row r="1" ht="23" hidden="0" customHeight="1">
      <c r="A1" s="6" t="str">
        <v>Путь</v>
      </c>
      <c r="B1" s="6" t="str">
        <v>SHA-256</v>
      </c>
      <c r="C1" s="6" t="str">
        <v>Назначение</v>
      </c>
      <c r="D1" s="6" t="str">
        <v>Связанные ID</v>
      </c>
      <c r="E1" s="6" t="str">
        <v>Открыть</v>
      </c>
    </row>
    <row r="2" ht="23" hidden="0" customHeight="1">
      <c r="A2" s="3" t="str">
        <v>sources/builder-adaptation.json</v>
      </c>
      <c r="B2" s="3" t="str">
        <v>ed08eb08c590e998a4ab8a6e63e391cab961666bfbad1b984f3d88dd611cc568</v>
      </c>
      <c r="C2" s="3" t="str">
        <v>Требование / документарный источник; не свежий runtime PASS</v>
      </c>
      <c r="D2" s="3" t="str"/>
      <c r="E2" s="3" t="str">
        <v>Открыть</v>
      </c>
    </row>
    <row r="3" ht="23" hidden="0" customHeight="1">
      <c r="A3" s="3" t="str">
        <v>sources/QA-EXPERT-TESTING-STANDARD.md</v>
      </c>
      <c r="B3" s="3" t="str">
        <v>4b27a0067bdd5e4de5539d1ef85e68b22defa979e81cdf1f09fd9c0423b73abf</v>
      </c>
      <c r="C3" s="3" t="str">
        <v>Требование / документарный источник; не свежий runtime PASS</v>
      </c>
      <c r="D3" s="3" t="str"/>
      <c r="E3" s="3" t="str">
        <v>Открыть</v>
      </c>
    </row>
    <row r="4" ht="23" hidden="0" customHeight="1">
      <c r="A4" s="3" t="str">
        <v>sources/TZ.md</v>
      </c>
      <c r="B4" s="3" t="str">
        <v>427d140a533ed856036aec8b2e2c37822117fbdd405ecd6221e1bf7eeb586ea0</v>
      </c>
      <c r="C4" s="3" t="str">
        <v>Требование / документарный источник; не свежий runtime PASS</v>
      </c>
      <c r="D4" s="3" t="str"/>
      <c r="E4" s="3" t="str">
        <v>Открыть</v>
      </c>
    </row>
    <row r="5" ht="23" hidden="0" customHeight="1">
      <c r="A5" s="3" t="str">
        <v>evidence/originals/mobile-width-confirmed.json</v>
      </c>
      <c r="B5" s="3" t="str">
        <v>3e578f9e5045ab1cbfcfc2c83a1dfec3aaa86631800480ee13375baa2becfc56</v>
      </c>
      <c r="C5" s="3" t="str">
        <v>Доказательство текущего прохода</v>
      </c>
      <c r="D5" s="3" t="str">
        <v>SUP-UI-01, CS-F02</v>
      </c>
      <c r="E5" s="3" t="str">
        <v>Открыть</v>
      </c>
    </row>
    <row r="6" ht="23" hidden="0" customHeight="1">
      <c r="A6" s="3" t="str">
        <v>evidence/originals/support-closed-360.png</v>
      </c>
      <c r="B6" s="3" t="str">
        <v>8ea52968ab1387bdde16a469e1778e9070cf2f7d2eea3517fd642a417dbfd348</v>
      </c>
      <c r="C6" s="3" t="str">
        <v>Доказательство текущего прохода</v>
      </c>
      <c r="D6" s="3" t="str">
        <v>SUP-UI-01, SUP-RU-01, CS-F02, CS-F03</v>
      </c>
      <c r="E6" s="3" t="str">
        <v>Открыть</v>
      </c>
    </row>
    <row r="7" ht="23" hidden="0" customHeight="1">
      <c r="A7" s="3" t="str">
        <v>evidence/originals/support-conflict-retained.jpg</v>
      </c>
      <c r="B7" s="3" t="str">
        <v>fe3c568803a37eccd34436c058259e143e49b02d58578718c791a5294d680261</v>
      </c>
      <c r="C7" s="3" t="str">
        <v>Доказательство текущего прохода</v>
      </c>
      <c r="D7" s="3" t="str">
        <v>SUP-CONFLICT-01</v>
      </c>
      <c r="E7" s="3" t="str">
        <v>Открыть</v>
      </c>
    </row>
    <row r="8" ht="23" hidden="0" customHeight="1">
      <c r="A8" s="3" t="str">
        <v>evidence/originals/support-create-bound.jpg</v>
      </c>
      <c r="B8" s="3" t="str">
        <v>86819786056580a1ba55363c845c86eb39f7c9bb9305c3ad00be991e4471507c</v>
      </c>
      <c r="C8" s="3" t="str">
        <v>Доказательство текущего прохода</v>
      </c>
      <c r="D8" s="3" t="str">
        <v>SUP-CREATE-01</v>
      </c>
      <c r="E8" s="3" t="str">
        <v>Открыть</v>
      </c>
    </row>
    <row r="9" ht="23" hidden="0" customHeight="1">
      <c r="A9" s="3" t="str">
        <v>evidence/originals/support-list-closed.jpg</v>
      </c>
      <c r="B9" s="3" t="str">
        <v>71375e7e6ce885804712a1db552ef3f7759023d8163aa526c54421e775efd0bc</v>
      </c>
      <c r="C9" s="3" t="str">
        <v>Доказательство текущего прохода</v>
      </c>
      <c r="D9" s="3" t="str">
        <v>SUP-LIST-01</v>
      </c>
      <c r="E9" s="3" t="str">
        <v>Открыть</v>
      </c>
    </row>
    <row r="10" ht="23" hidden="0" customHeight="1">
      <c r="A10" s="3" t="str">
        <v>evidence/originals/support-retry-conflict-loop.jpg</v>
      </c>
      <c r="B10" s="3" t="str">
        <v>2321ef23c1fd0055b4ffc5982f9093c8bff1d4c564c4552fcdaa5cc994741205</v>
      </c>
      <c r="C10" s="3" t="str">
        <v>Доказательство текущего прохода</v>
      </c>
      <c r="D10" s="3" t="str">
        <v>SUP-RETRY-01, SUP-RU-01, CS-F01, CS-F03</v>
      </c>
      <c r="E10" s="3" t="str">
        <v>Открыть</v>
      </c>
    </row>
    <row r="11" ht="23" hidden="0" customHeight="1">
      <c r="A11" s="3" t="str">
        <v>evidence/originals/support-total-limit.jpg</v>
      </c>
      <c r="B11" s="3" t="str">
        <v>9e8c0dd555c7082ac03a6b5d97ce51fa31ecc95d3ba39514532bcf7a31f3d374</v>
      </c>
      <c r="C11" s="3" t="str">
        <v>Доказательство текущего прохода</v>
      </c>
      <c r="D11" s="3" t="str">
        <v>SUP-FILE-LIMIT-01</v>
      </c>
      <c r="E11" s="3" t="str">
        <v>Открыть</v>
      </c>
    </row>
    <row r="12" ht="60.79999923706055" hidden="0" customHeight="1">
      <c r="A12" s="3" t="str">
        <v>evidence/protocol.json</v>
      </c>
      <c r="B12" s="3" t="str">
        <v>8809f9137878036f3064fb08a358625fb18092d075c1cf129c7dea3197e237dc</v>
      </c>
      <c r="C12" s="3" t="str">
        <v>Доказательство текущего прохода</v>
      </c>
      <c r="D12" s="3" t="str">
        <v>SUP-CREATE-01, SUP-CONFLICT-01, SUP-RETRY-01, SUP-PRIVACY-01, SUP-CLOSE-01, SUP-FOLLOWUP-01, SUP-FILE-LIMIT-01, SUP-LIST-01, SUP-UI-01, SUP-RU-01, CS-F01, CS-F02, CS-F03</v>
      </c>
      <c r="E12" s="3" t="str">
        <v>Открыть</v>
      </c>
    </row>
  </sheetData>
  <hyperlinks>
    <hyperlink ref="E2" r:id="qaAuditLink1"/>
    <hyperlink ref="E3" r:id="qaAuditLink2"/>
    <hyperlink ref="E4" r:id="qaAuditLink3"/>
    <hyperlink ref="E5" r:id="qaAuditLink4"/>
    <hyperlink ref="E6" r:id="qaAuditLink5"/>
    <hyperlink ref="E7" r:id="qaAuditLink6"/>
    <hyperlink ref="E8" r:id="qaAuditLink7"/>
    <hyperlink ref="E9" r:id="qaAuditLink8"/>
    <hyperlink ref="E10" r:id="qaAuditLink9"/>
    <hyperlink ref="E11" r:id="qaAuditLink10"/>
    <hyperlink ref="E12" r:id="qaAuditLink11"/>
  </hyperlinks>
  <pageMargins left="0.7" right="0.7" top="0.75" bottom="0.75" header="0.3" footer="0.3"/>
  <tableParts count="1">
    <tablePart r:id="R0fc48b61d624454f"/>
  </tableParts>
</worksheet>
</file>