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e2a6612ff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1561ef472214947"/>
    <x:sheet xmlns:r="http://schemas.openxmlformats.org/officeDocument/2006/relationships" name="Приёмка" sheetId="2" r:id="Rbd44cd1b76c04937"/>
    <x:sheet xmlns:r="http://schemas.openxmlformats.org/officeDocument/2006/relationships" name="Сценарии" sheetId="3" r:id="Rb1a3babcb34f48e0"/>
    <x:sheet xmlns:r="http://schemas.openxmlformats.org/officeDocument/2006/relationships" name="Дефекты" sheetId="4" r:id="R6e99603feaa94216"/>
    <x:sheet xmlns:r="http://schemas.openxmlformats.org/officeDocument/2006/relationships" name="Не проверено" sheetId="5" r:id="R6091dc4b1ecf472d"/>
    <x:sheet xmlns:r="http://schemas.openxmlformats.org/officeDocument/2006/relationships" name="BA решения" sheetId="6" r:id="R97938546fd3b46d8"/>
    <x:sheet xmlns:r="http://schemas.openxmlformats.org/officeDocument/2006/relationships" name="Источники" sheetId="7" r:id="R149a57727a0e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CE4E4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0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b0fbbc89b474f" /><Relationship Type="http://schemas.openxmlformats.org/officeDocument/2006/relationships/theme" Target="/xl/theme/theme1.xml" Id="R29c54fb818604fd9" /><Relationship Type="http://schemas.openxmlformats.org/officeDocument/2006/relationships/sharedStrings" Target="/xl/sharedStrings.xml" Id="R4dd8b5332ab64af2" /><Relationship Type="http://schemas.openxmlformats.org/officeDocument/2006/relationships/worksheet" Target="/xl/worksheets/sheet1.xml" Id="R41561ef472214947" /><Relationship Type="http://schemas.openxmlformats.org/officeDocument/2006/relationships/worksheet" Target="/xl/worksheets/sheet2.xml" Id="Rbd44cd1b76c04937" /><Relationship Type="http://schemas.openxmlformats.org/officeDocument/2006/relationships/worksheet" Target="/xl/worksheets/sheet3.xml" Id="Rb1a3babcb34f48e0" /><Relationship Type="http://schemas.openxmlformats.org/officeDocument/2006/relationships/worksheet" Target="/xl/worksheets/sheet4.xml" Id="R6e99603feaa94216" /><Relationship Type="http://schemas.openxmlformats.org/officeDocument/2006/relationships/worksheet" Target="/xl/worksheets/sheet5.xml" Id="R6091dc4b1ecf472d" /><Relationship Type="http://schemas.openxmlformats.org/officeDocument/2006/relationships/worksheet" Target="/xl/worksheets/sheet6.xml" Id="R97938546fd3b46d8" /><Relationship Type="http://schemas.openxmlformats.org/officeDocument/2006/relationships/worksheet" Target="/xl/worksheets/sheet7.xml" Id="R149a57727a0e4b67" /></Relationships>
</file>

<file path=xl/tables/table1.xml><?xml version="1.0" encoding="utf-8"?>
<x:table xmlns:x="http://schemas.openxmlformats.org/spreadsheetml/2006/main" id="1" name="QA_client_chat_1" displayName="QA_client_chat_1" ref="A1:L40" headerRowCount="1" totalsRowCount="0" totalsRowShown="0">
  <x:autoFilter ref="A1:L40"/>
  <x:tableColumns count="12">
    <x:tableColumn id="1" name="ID"/>
    <x:tableColumn id="2" name="Критерий проверки"/>
    <x:tableColumn id="3" name="Результат приёмки"/>
    <x:tableColumn id="4" name="Доказано / критерий"/>
    <x:tableColumn id="5" name="Остаток"/>
    <x:tableColumn id="6" name="Причина"/>
    <x:tableColumn id="7" name="Ответственный"/>
    <x:tableColumn id="8" name="Следующий шаг"/>
    <x:tableColumn id="9" name="Связанные сценарии"/>
    <x:tableColumn id="10" name="Доказательства"/>
    <x:tableColumn id="11" name="Источник"/>
    <x:tableColumn id="12" name="Откры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_client_chat_2" displayName="QA_client_chat_2" ref="A1:N40" headerRowCount="1" totalsRowCount="0" totalsRowShown="0">
  <x:autoFilter ref="A1:N40"/>
  <x:tableColumns count="14">
    <x:tableColumn id="1" name="ID"/>
    <x:tableColumn id="2" name="Сценарий"/>
    <x:tableColumn id="3" name="Ожидание"/>
    <x:tableColumn id="4" name="Роли"/>
    <x:tableColumn id="5" name="Результат"/>
    <x:tableColumn id="6" name="Факт исходного прохода / причина"/>
    <x:tableColumn id="7" name="Шаги"/>
    <x:tableColumn id="8" name="Дата проверки UTC"/>
    <x:tableColumn id="9" name="URL"/>
    <x:tableColumn id="10" name="Прежний статус16.10"/>
    <x:tableColumn id="11" name="Доказательства"/>
    <x:tableColumn id="12" name="Источник"/>
    <x:tableColumn id="13" name="Граница / следующий шаг"/>
    <x:tableColumn id="14" name="Открыт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A_client_chat_3" displayName="QA_client_chat_3" ref="A1:L7" headerRowCount="1" totalsRowCount="0" totalsRowShown="0">
  <x:autoFilter ref="A1:L7"/>
  <x:tableColumns count="12">
    <x:tableColumn id="1" name="ID"/>
    <x:tableColumn id="2" name="Приоритет"/>
    <x:tableColumn id="3" name="Название"/>
    <x:tableColumn id="4" name="Решение"/>
    <x:tableColumn id="5" name="Факт"/>
    <x:tableColumn id="6" name="Ожидание"/>
    <x:tableColumn id="7" name="Воспроизведение"/>
    <x:tableColumn id="8" name="Роль / URL / дата"/>
    <x:tableColumn id="9" name="Доказательства"/>
    <x:tableColumn id="10" name="Критерии исправления"/>
    <x:tableColumn id="11" name="Границы"/>
    <x:tableColumn id="12" name="Откры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_client_chat_4" displayName="QA_client_chat_4" ref="A1:F11" headerRowCount="1" totalsRowCount="0" totalsRowShown="0">
  <x:autoFilter ref="A1:F11"/>
  <x:tableColumns count="6">
    <x:tableColumn id="1" name="ID"/>
    <x:tableColumn id="2" name="Непроверенный критерий"/>
    <x:tableColumn id="3" name="Точная причина / что известно"/>
    <x:tableColumn id="4" name="Следующий шаг"/>
    <x:tableColumn id="5" name="Источник"/>
    <x:tableColumn id="6" name="Ответственны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A_client_chat_5" displayName="QA_client_chat_5" ref="A1:E4" headerRowCount="1" totalsRowCount="0" totalsRowShown="0">
  <x:autoFilter ref="A1:E4"/>
  <x:tableColumns count="5">
    <x:tableColumn id="1" name="ID"/>
    <x:tableColumn id="2" name="Статус"/>
    <x:tableColumn id="3" name="Предмет"/>
    <x:tableColumn id="4" name="Подтверждённый факт / границы"/>
    <x:tableColumn id="5" name="Решение / следующий ша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A_client_chat_6" displayName="QA_client_chat_6" ref="A1:E40" headerRowCount="1" totalsRowCount="0" totalsRowShown="0">
  <x:autoFilter ref="A1:E40"/>
  <x:tableColumns count="5">
    <x:tableColumn id="1" name="Путь"/>
    <x:tableColumn id="2" name="SHA-256"/>
    <x:tableColumn id="3" name="Назначение"/>
    <x:tableColumn id="4" name="Связанные ID"/>
    <x:tableColumn id="5" name="Открыт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f87fa293ea7e489d" /><ns0:Relationship Id="qaAuditLink1" Type="http://schemas.openxmlformats.org/officeDocument/2006/relationships/hyperlink" Target="evidence/originals/client-terms-before.jpg" TargetMode="External" /><ns0:Relationship Id="qaAuditLink2" Type="http://schemas.openxmlformats.org/officeDocument/2006/relationships/hyperlink" Target="evidence/originals/chat-terms-360.png" TargetMode="External" /><ns0:Relationship Id="qaAuditLink3" Type="http://schemas.openxmlformats.org/officeDocument/2006/relationships/hyperlink" Target="evidence/protocol.json" TargetMode="External" /><ns0:Relationship Id="qaAuditLink4" Type="http://schemas.openxmlformats.org/officeDocument/2006/relationships/hyperlink" Target="evidence/originals/client-message-delivery.jpg" TargetMode="External" /><ns0:Relationship Id="qaAuditLink5" Type="http://schemas.openxmlformats.org/officeDocument/2006/relationships/hyperlink" Target="evidence/protocol.json" TargetMode="External" /><ns0:Relationship Id="qaAuditLink6" Type="http://schemas.openxmlformats.org/officeDocument/2006/relationships/hyperlink" Target="evidence/originals/client-request-ready.jpg" TargetMode="External" /><ns0:Relationship Id="qaAuditLink7" Type="http://schemas.openxmlformats.org/officeDocument/2006/relationships/hyperlink" Target="evidence/originals/client-session-active.jpg" TargetMode="External" /><ns0:Relationship Id="qaAuditLink8" Type="http://schemas.openxmlformats.org/officeDocument/2006/relationships/hyperlink" Target="evidence/protocol.json" TargetMode="External" /><ns0:Relationship Id="qaAuditLink9" Type="http://schemas.openxmlformats.org/officeDocument/2006/relationships/hyperlink" Target="evidence/originals/favorite-isolated-final.jpg" TargetMode="External" /><ns0:Relationship Id="qaAuditLink10" Type="http://schemas.openxmlformats.org/officeDocument/2006/relationships/hyperlink" Target="evidence/originals/operator-billing-ledger-266.jpg" TargetMode="External" /><ns0:Relationship Id="qaAuditLink11" Type="http://schemas.openxmlformats.org/officeDocument/2006/relationships/hyperlink" Target="evidence/protocol.json" TargetMode="External" /><ns0:Relationship Id="qaAuditLink12" Type="http://schemas.openxmlformats.org/officeDocument/2006/relationships/hyperlink" Target="evidence/originals/chat-emoji-isolated.jpg" TargetMode="External" /><ns0:Relationship Id="qaAuditLink13" Type="http://schemas.openxmlformats.org/officeDocument/2006/relationships/hyperlink" Target="evidence/originals/client-offer-direct-accept.jpg" TargetMode="External" /><ns0:Relationship Id="qaAuditLink14" Type="http://schemas.openxmlformats.org/officeDocument/2006/relationships/hyperlink" Target="evidence/protocol.json" TargetMode="External" /><ns0:Relationship Id="qaAuditLink15" Type="http://schemas.openxmlformats.org/officeDocument/2006/relationships/hyperlink" Target="evidence/originals/received-attachment44.txt" TargetMode="External" /><ns0:Relationship Id="qaAuditLink16" Type="http://schemas.openxmlformats.org/officeDocument/2006/relationships/hyperlink" Target="evidence/originals/chat-offline-unknown-retained.jpg" TargetMode="External" /><ns0:Relationship Id="qaAuditLink17" Type="http://schemas.openxmlformats.org/officeDocument/2006/relationships/hyperlink" Target="evidence/originals/chat-delete-confirm.jpg" TargetMode="External" /><ns0:Relationship Id="qaAuditLink18" Type="http://schemas.openxmlformats.org/officeDocument/2006/relationships/hyperlink" Target="evidence/originals/chat-total-limit.jpg" TargetMode="External" /><ns0:Relationship Id="qaAuditLink19" Type="http://schemas.openxmlformats.org/officeDocument/2006/relationships/hyperlink" Target="evidence/protocol.json" TargetMode="External" /><ns0:Relationship Id="qaAuditLink20" Type="http://schemas.openxmlformats.org/officeDocument/2006/relationships/hyperlink" Target="evidence/protocol.json" TargetMode="External" /><ns0:Relationship Id="qaAuditLink21" Type="http://schemas.openxmlformats.org/officeDocument/2006/relationships/hyperlink" Target="evidence/originals/chat-terms-360.png" TargetMode="External" /><ns0:Relationship Id="qaAuditLink22" Type="http://schemas.openxmlformats.org/officeDocument/2006/relationships/hyperlink" Target="evidence/originals/chat-thread-360.png" TargetMode="External" /><ns0:Relationship Id="qaAuditLink23" Type="http://schemas.openxmlformats.org/officeDocument/2006/relationships/hyperlink" Target="evidence/originals/client-terms-before.jpg" TargetMode="External" /><ns0:Relationship Id="qaAuditLink24" Type="http://schemas.openxmlformats.org/officeDocument/2006/relationships/hyperlink" Target="evidence/originals/second-session-final.json" TargetMode="External" /><ns0:Relationship Id="qaAuditLink25" Type="http://schemas.openxmlformats.org/officeDocument/2006/relationships/hyperlink" Target="evidence/originals/login-client-189.json" TargetMode="External" /><ns0:Relationship Id="qaAuditLink26" Type="http://schemas.openxmlformats.org/officeDocument/2006/relationships/hyperlink" Target="evidence/protocol.json" TargetMode="External" /><ns0:Relationship Id="qaAuditLink27" Type="http://schemas.openxmlformats.org/officeDocument/2006/relationships/hyperlink" Target="evidence/originals/chat-report-modal.jpg" TargetMode="External" /><ns0:Relationship Id="qaAuditLink28" Type="http://schemas.openxmlformats.org/officeDocument/2006/relationships/hyperlink" Target="evidence/originals/responsive-metrics.json" TargetMode="External" /><ns0:Relationship Id="qaAuditLink29" Type="http://schemas.openxmlformats.org/officeDocument/2006/relationships/hyperlink" Target="sources/TZ.md" TargetMode="External" /><ns0:Relationship Id="qaAuditLink30" Type="http://schemas.openxmlformats.org/officeDocument/2006/relationships/hyperlink" Target="sources/TZ.md" TargetMode="External" /><ns0:Relationship Id="qaAuditLink31" Type="http://schemas.openxmlformats.org/officeDocument/2006/relationships/hyperlink" Target="sources/TZ.md" TargetMode="External" /><ns0:Relationship Id="qaAuditLink32" Type="http://schemas.openxmlformats.org/officeDocument/2006/relationships/hyperlink" Target="sources/TZ.md" TargetMode="External" /><ns0:Relationship Id="qaAuditLink33" Type="http://schemas.openxmlformats.org/officeDocument/2006/relationships/hyperlink" Target="sources/TZ.md" TargetMode="External" /><ns0:Relationship Id="qaAuditLink34" Type="http://schemas.openxmlformats.org/officeDocument/2006/relationships/hyperlink" Target="sources/TZ.md" TargetMode="External" /><ns0:Relationship Id="qaAuditLink35" Type="http://schemas.openxmlformats.org/officeDocument/2006/relationships/hyperlink" Target="sources/TZ.md" TargetMode="External" /><ns0:Relationship Id="qaAuditLink36" Type="http://schemas.openxmlformats.org/officeDocument/2006/relationships/hyperlink" Target="sources/TZ.md" TargetMode="External" /><ns0:Relationship Id="qaAuditLink37" Type="http://schemas.openxmlformats.org/officeDocument/2006/relationships/hyperlink" Target="evidence/originals/owner-rating-chat.png" TargetMode="External" /><ns0:Relationship Id="qaAuditLink38" Type="http://schemas.openxmlformats.org/officeDocument/2006/relationships/hyperlink" Target="sources/OWNER-DECISIONS-20261028.md" TargetMode="External" /><ns0:Relationship Id="qaAuditLink39" Type="http://schemas.openxmlformats.org/officeDocument/2006/relationships/hyperlink" Target="sources/OWNER-DECISIONS-20261028.md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2.xml" Id="R7df396db6379491d" /><ns0:Relationship Id="qaAuditLink1" Type="http://schemas.openxmlformats.org/officeDocument/2006/relationships/hyperlink" Target="evidence/originals/client-terms-before.jpg" TargetMode="External" /><ns0:Relationship Id="qaAuditLink2" Type="http://schemas.openxmlformats.org/officeDocument/2006/relationships/hyperlink" Target="evidence/originals/chat-terms-360.png" TargetMode="External" /><ns0:Relationship Id="qaAuditLink3" Type="http://schemas.openxmlformats.org/officeDocument/2006/relationships/hyperlink" Target="evidence/protocol.json" TargetMode="External" /><ns0:Relationship Id="qaAuditLink4" Type="http://schemas.openxmlformats.org/officeDocument/2006/relationships/hyperlink" Target="evidence/originals/client-message-delivery.jpg" TargetMode="External" /><ns0:Relationship Id="qaAuditLink5" Type="http://schemas.openxmlformats.org/officeDocument/2006/relationships/hyperlink" Target="evidence/protocol.json" TargetMode="External" /><ns0:Relationship Id="qaAuditLink6" Type="http://schemas.openxmlformats.org/officeDocument/2006/relationships/hyperlink" Target="evidence/originals/client-request-ready.jpg" TargetMode="External" /><ns0:Relationship Id="qaAuditLink7" Type="http://schemas.openxmlformats.org/officeDocument/2006/relationships/hyperlink" Target="evidence/originals/client-session-active.jpg" TargetMode="External" /><ns0:Relationship Id="qaAuditLink8" Type="http://schemas.openxmlformats.org/officeDocument/2006/relationships/hyperlink" Target="evidence/protocol.json" TargetMode="External" /><ns0:Relationship Id="qaAuditLink9" Type="http://schemas.openxmlformats.org/officeDocument/2006/relationships/hyperlink" Target="evidence/originals/favorite-isolated-final.jpg" TargetMode="External" /><ns0:Relationship Id="qaAuditLink10" Type="http://schemas.openxmlformats.org/officeDocument/2006/relationships/hyperlink" Target="evidence/originals/operator-billing-ledger-266.jpg" TargetMode="External" /><ns0:Relationship Id="qaAuditLink11" Type="http://schemas.openxmlformats.org/officeDocument/2006/relationships/hyperlink" Target="evidence/protocol.json" TargetMode="External" /><ns0:Relationship Id="qaAuditLink12" Type="http://schemas.openxmlformats.org/officeDocument/2006/relationships/hyperlink" Target="evidence/originals/chat-emoji-isolated.jpg" TargetMode="External" /><ns0:Relationship Id="qaAuditLink13" Type="http://schemas.openxmlformats.org/officeDocument/2006/relationships/hyperlink" Target="evidence/originals/client-offer-direct-accept.jpg" TargetMode="External" /><ns0:Relationship Id="qaAuditLink14" Type="http://schemas.openxmlformats.org/officeDocument/2006/relationships/hyperlink" Target="evidence/protocol.json" TargetMode="External" /><ns0:Relationship Id="qaAuditLink15" Type="http://schemas.openxmlformats.org/officeDocument/2006/relationships/hyperlink" Target="evidence/originals/received-attachment44.txt" TargetMode="External" /><ns0:Relationship Id="qaAuditLink16" Type="http://schemas.openxmlformats.org/officeDocument/2006/relationships/hyperlink" Target="evidence/originals/chat-offline-unknown-retained.jpg" TargetMode="External" /><ns0:Relationship Id="qaAuditLink17" Type="http://schemas.openxmlformats.org/officeDocument/2006/relationships/hyperlink" Target="evidence/originals/chat-delete-confirm.jpg" TargetMode="External" /><ns0:Relationship Id="qaAuditLink18" Type="http://schemas.openxmlformats.org/officeDocument/2006/relationships/hyperlink" Target="evidence/originals/chat-total-limit.jpg" TargetMode="External" /><ns0:Relationship Id="qaAuditLink19" Type="http://schemas.openxmlformats.org/officeDocument/2006/relationships/hyperlink" Target="evidence/protocol.json" TargetMode="External" /><ns0:Relationship Id="qaAuditLink20" Type="http://schemas.openxmlformats.org/officeDocument/2006/relationships/hyperlink" Target="evidence/protocol.json" TargetMode="External" /><ns0:Relationship Id="qaAuditLink21" Type="http://schemas.openxmlformats.org/officeDocument/2006/relationships/hyperlink" Target="evidence/originals/chat-terms-360.png" TargetMode="External" /><ns0:Relationship Id="qaAuditLink22" Type="http://schemas.openxmlformats.org/officeDocument/2006/relationships/hyperlink" Target="evidence/originals/chat-thread-360.png" TargetMode="External" /><ns0:Relationship Id="qaAuditLink23" Type="http://schemas.openxmlformats.org/officeDocument/2006/relationships/hyperlink" Target="evidence/originals/client-terms-before.jpg" TargetMode="External" /><ns0:Relationship Id="qaAuditLink24" Type="http://schemas.openxmlformats.org/officeDocument/2006/relationships/hyperlink" Target="evidence/originals/second-session-final.json" TargetMode="External" /><ns0:Relationship Id="qaAuditLink25" Type="http://schemas.openxmlformats.org/officeDocument/2006/relationships/hyperlink" Target="evidence/originals/login-client-189.json" TargetMode="External" /><ns0:Relationship Id="qaAuditLink26" Type="http://schemas.openxmlformats.org/officeDocument/2006/relationships/hyperlink" Target="evidence/protocol.json" TargetMode="External" /><ns0:Relationship Id="qaAuditLink27" Type="http://schemas.openxmlformats.org/officeDocument/2006/relationships/hyperlink" Target="evidence/originals/chat-report-modal.jpg" TargetMode="External" /><ns0:Relationship Id="qaAuditLink28" Type="http://schemas.openxmlformats.org/officeDocument/2006/relationships/hyperlink" Target="evidence/originals/responsive-metrics.json" TargetMode="External" /><ns0:Relationship Id="qaAuditLink29" Type="http://schemas.openxmlformats.org/officeDocument/2006/relationships/hyperlink" Target="sources/TZ.md" TargetMode="External" /><ns0:Relationship Id="qaAuditLink30" Type="http://schemas.openxmlformats.org/officeDocument/2006/relationships/hyperlink" Target="sources/TZ.md" TargetMode="External" /><ns0:Relationship Id="qaAuditLink31" Type="http://schemas.openxmlformats.org/officeDocument/2006/relationships/hyperlink" Target="sources/TZ.md" TargetMode="External" /><ns0:Relationship Id="qaAuditLink32" Type="http://schemas.openxmlformats.org/officeDocument/2006/relationships/hyperlink" Target="sources/TZ.md" TargetMode="External" /><ns0:Relationship Id="qaAuditLink33" Type="http://schemas.openxmlformats.org/officeDocument/2006/relationships/hyperlink" Target="sources/TZ.md" TargetMode="External" /><ns0:Relationship Id="qaAuditLink34" Type="http://schemas.openxmlformats.org/officeDocument/2006/relationships/hyperlink" Target="sources/TZ.md" TargetMode="External" /><ns0:Relationship Id="qaAuditLink35" Type="http://schemas.openxmlformats.org/officeDocument/2006/relationships/hyperlink" Target="sources/TZ.md" TargetMode="External" /><ns0:Relationship Id="qaAuditLink36" Type="http://schemas.openxmlformats.org/officeDocument/2006/relationships/hyperlink" Target="sources/TZ.md" TargetMode="External" /><ns0:Relationship Id="qaAuditLink37" Type="http://schemas.openxmlformats.org/officeDocument/2006/relationships/hyperlink" Target="evidence/originals/owner-rating-chat.png" TargetMode="External" /><ns0:Relationship Id="qaAuditLink38" Type="http://schemas.openxmlformats.org/officeDocument/2006/relationships/hyperlink" Target="sources/OWNER-DECISIONS-20261028.md" TargetMode="External" /><ns0:Relationship Id="qaAuditLink39" Type="http://schemas.openxmlformats.org/officeDocument/2006/relationships/hyperlink" Target="sources/OWNER-DECISIONS-20261028.md" TargetMode="External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3.xml" Id="R6e675b2ef43f451c" /><ns0:Relationship Id="qaAuditLink1" Type="http://schemas.openxmlformats.org/officeDocument/2006/relationships/hyperlink" Target="evidence/originals/client-terms-before.jpg" TargetMode="External" /><ns0:Relationship Id="qaAuditLink2" Type="http://schemas.openxmlformats.org/officeDocument/2006/relationships/hyperlink" Target="evidence/originals/chat-emoji-isolated.jpg" TargetMode="External" /><ns0:Relationship Id="qaAuditLink3" Type="http://schemas.openxmlformats.org/officeDocument/2006/relationships/hyperlink" Target="evidence/originals/chat-terms-360.png" TargetMode="External" /><ns0:Relationship Id="qaAuditLink4" Type="http://schemas.openxmlformats.org/officeDocument/2006/relationships/hyperlink" Target="evidence/originals/chat-thread-360.png" TargetMode="External" /><ns0:Relationship Id="qaAuditLink5" Type="http://schemas.openxmlformats.org/officeDocument/2006/relationships/hyperlink" Target="evidence/originals/client-terms-before.jpg" TargetMode="External" /><ns0:Relationship Id="qaAuditLink6" Type="http://schemas.openxmlformats.org/officeDocument/2006/relationships/hyperlink" Target="evidence/originals/owner-rating-chat.png" TargetMode="External" /></ns0: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32aae6bcd843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e67058eeca4141" /></Relationships>
</file>

<file path=xl/worksheets/_rels/sheet7.xml.rels><?xml version='1.0' encoding='utf-8'?>
<ns0:Relationships xmlns:ns0="http://schemas.openxmlformats.org/package/2006/relationships"><ns0:Relationship Type="http://schemas.openxmlformats.org/officeDocument/2006/relationships/table" Target="/xl/tables/table6.xml" Id="Rb5cf1385ef064846" /><ns0:Relationship Id="qaAuditLink1" Type="http://schemas.openxmlformats.org/officeDocument/2006/relationships/hyperlink" Target="sources/builder-adaptation.json" TargetMode="External" /><ns0:Relationship Id="qaAuditLink2" Type="http://schemas.openxmlformats.org/officeDocument/2006/relationships/hyperlink" Target="sources/OWNER-DECISIONS-20261028.md" TargetMode="External" /><ns0:Relationship Id="qaAuditLink3" Type="http://schemas.openxmlformats.org/officeDocument/2006/relationships/hyperlink" Target="sources/owner-reference-profile-only.png" TargetMode="External" /><ns0:Relationship Id="qaAuditLink4" Type="http://schemas.openxmlformats.org/officeDocument/2006/relationships/hyperlink" Target="sources/PAID_SESSION_CONTRACT.md" TargetMode="External" /><ns0:Relationship Id="qaAuditLink5" Type="http://schemas.openxmlformats.org/officeDocument/2006/relationships/hyperlink" Target="sources/QA-EXPERT-TESTING-STANDARD.md" TargetMode="External" /><ns0:Relationship Id="qaAuditLink6" Type="http://schemas.openxmlformats.org/officeDocument/2006/relationships/hyperlink" Target="sources/TZ.md" TargetMode="External" /><ns0:Relationship Id="qaAuditLink7" Type="http://schemas.openxmlformats.org/officeDocument/2006/relationships/hyperlink" Target="evidence/originals/agent-login-identity.jpg" TargetMode="External" /><ns0:Relationship Id="qaAuditLink8" Type="http://schemas.openxmlformats.org/officeDocument/2006/relationships/hyperlink" Target="evidence/originals/chat-delete-confirm.jpg" TargetMode="External" /><ns0:Relationship Id="qaAuditLink9" Type="http://schemas.openxmlformats.org/officeDocument/2006/relationships/hyperlink" Target="evidence/originals/chat-emoji-isolated.jpg" TargetMode="External" /><ns0:Relationship Id="qaAuditLink10" Type="http://schemas.openxmlformats.org/officeDocument/2006/relationships/hyperlink" Target="evidence/originals/chat-list-360.png" TargetMode="External" /><ns0:Relationship Id="qaAuditLink11" Type="http://schemas.openxmlformats.org/officeDocument/2006/relationships/hyperlink" Target="evidence/originals/chat-offline-unknown-retained.jpg" TargetMode="External" /><ns0:Relationship Id="qaAuditLink12" Type="http://schemas.openxmlformats.org/officeDocument/2006/relationships/hyperlink" Target="evidence/originals/chat-report-modal.jpg" TargetMode="External" /><ns0:Relationship Id="qaAuditLink13" Type="http://schemas.openxmlformats.org/officeDocument/2006/relationships/hyperlink" Target="evidence/originals/chat-terms-1280.png" TargetMode="External" /><ns0:Relationship Id="qaAuditLink14" Type="http://schemas.openxmlformats.org/officeDocument/2006/relationships/hyperlink" Target="evidence/originals/chat-terms-360.png" TargetMode="External" /><ns0:Relationship Id="qaAuditLink15" Type="http://schemas.openxmlformats.org/officeDocument/2006/relationships/hyperlink" Target="evidence/originals/chat-thread-1280.png" TargetMode="External" /><ns0:Relationship Id="qaAuditLink16" Type="http://schemas.openxmlformats.org/officeDocument/2006/relationships/hyperlink" Target="evidence/originals/chat-thread-360.png" TargetMode="External" /><ns0:Relationship Id="qaAuditLink17" Type="http://schemas.openxmlformats.org/officeDocument/2006/relationships/hyperlink" Target="evidence/originals/chat-thread-480.png" TargetMode="External" /><ns0:Relationship Id="qaAuditLink18" Type="http://schemas.openxmlformats.org/officeDocument/2006/relationships/hyperlink" Target="evidence/originals/chat-thread-768.png" TargetMode="External" /><ns0:Relationship Id="qaAuditLink19" Type="http://schemas.openxmlformats.org/officeDocument/2006/relationships/hyperlink" Target="evidence/originals/chat-thread-992.png" TargetMode="External" /><ns0:Relationship Id="qaAuditLink20" Type="http://schemas.openxmlformats.org/officeDocument/2006/relationships/hyperlink" Target="evidence/originals/chat-total-limit.jpg" TargetMode="External" /><ns0:Relationship Id="qaAuditLink21" Type="http://schemas.openxmlformats.org/officeDocument/2006/relationships/hyperlink" Target="evidence/originals/client-login-identity.jpg" TargetMode="External" /><ns0:Relationship Id="qaAuditLink22" Type="http://schemas.openxmlformats.org/officeDocument/2006/relationships/hyperlink" Target="evidence/originals/client-message-delivery.jpg" TargetMode="External" /><ns0:Relationship Id="qaAuditLink23" Type="http://schemas.openxmlformats.org/officeDocument/2006/relationships/hyperlink" Target="evidence/originals/client-offer-direct-accept.jpg" TargetMode="External" /><ns0:Relationship Id="qaAuditLink24" Type="http://schemas.openxmlformats.org/officeDocument/2006/relationships/hyperlink" Target="evidence/originals/client-request-ready.jpg" TargetMode="External" /><ns0:Relationship Id="qaAuditLink25" Type="http://schemas.openxmlformats.org/officeDocument/2006/relationships/hyperlink" Target="evidence/originals/client-session-active.jpg" TargetMode="External" /><ns0:Relationship Id="qaAuditLink26" Type="http://schemas.openxmlformats.org/officeDocument/2006/relationships/hyperlink" Target="evidence/originals/client-terms-before.jpg" TargetMode="External" /><ns0:Relationship Id="qaAuditLink27" Type="http://schemas.openxmlformats.org/officeDocument/2006/relationships/hyperlink" Target="evidence/originals/favorite-isolated-final.jpg" TargetMode="External" /><ns0:Relationship Id="qaAuditLink28" Type="http://schemas.openxmlformats.org/officeDocument/2006/relationships/hyperlink" Target="evidence/originals/login-agent-12.json" TargetMode="External" /><ns0:Relationship Id="qaAuditLink29" Type="http://schemas.openxmlformats.org/officeDocument/2006/relationships/hyperlink" Target="evidence/originals/login-client-189.json" TargetMode="External" /><ns0:Relationship Id="qaAuditLink30" Type="http://schemas.openxmlformats.org/officeDocument/2006/relationships/hyperlink" Target="evidence/originals/mobile-width-confirmed.json" TargetMode="External" /><ns0:Relationship Id="qaAuditLink31" Type="http://schemas.openxmlformats.org/officeDocument/2006/relationships/hyperlink" Target="evidence/originals/operator-billing-ledger-266.jpg" TargetMode="External" /><ns0:Relationship Id="qaAuditLink32" Type="http://schemas.openxmlformats.org/officeDocument/2006/relationships/hyperlink" Target="evidence/originals/operator-request-ready.jpg" TargetMode="External" /><ns0:Relationship Id="qaAuditLink33" Type="http://schemas.openxmlformats.org/officeDocument/2006/relationships/hyperlink" Target="evidence/originals/operator-session-paused.jpg" TargetMode="External" /><ns0:Relationship Id="qaAuditLink34" Type="http://schemas.openxmlformats.org/officeDocument/2006/relationships/hyperlink" Target="evidence/originals/owner-rating-chat.png" TargetMode="External" /><ns0:Relationship Id="qaAuditLink35" Type="http://schemas.openxmlformats.org/officeDocument/2006/relationships/hyperlink" Target="evidence/originals/received-attachment44.txt" TargetMode="External" /><ns0:Relationship Id="qaAuditLink36" Type="http://schemas.openxmlformats.org/officeDocument/2006/relationships/hyperlink" Target="evidence/originals/responsive-metrics.json" TargetMode="External" /><ns0:Relationship Id="qaAuditLink37" Type="http://schemas.openxmlformats.org/officeDocument/2006/relationships/hyperlink" Target="evidence/originals/second-session-final.jpg" TargetMode="External" /><ns0:Relationship Id="qaAuditLink38" Type="http://schemas.openxmlformats.org/officeDocument/2006/relationships/hyperlink" Target="evidence/originals/second-session-final.json" TargetMode="External" /><ns0:Relationship Id="qaAuditLink39" Type="http://schemas.openxmlformats.org/officeDocument/2006/relationships/hyperlink" Target="evidence/protocol.json" TargetMode="External" /></ns0: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/>
  </x:sheetViews>
  <x:sheetFormatPr defaultRowHeight="15"/>
  <x:cols>
    <x:col min="1" max="1" width="36" hidden="0" customWidth="1"/>
    <x:col min="2" max="2" width="105" hidden="0" customWidth="1"/>
  </x:cols>
  <x:sheetData>
    <x:row r="1" ht="23" hidden="0" customHeight="1">
      <x:c r="A1" s="3" t="str"/>
      <x:c r="B1" s="3" t="str"/>
    </x:row>
    <x:row r="2" ht="26" hidden="0" customHeight="1">
      <x:c r="A2" s="4" t="str">
        <x:v>Клиентский чат — client-chat-audit-20261028-r2</x:v>
      </x:c>
      <x:c r="B2" s="4" t="str"/>
    </x:row>
    <x:row r="3" ht="23" hidden="0" customHeight="1">
      <x:c r="A3" s="3" t="str">
        <x:v>Поле</x:v>
      </x:c>
      <x:c r="B3" s="3" t="str">
        <x:v>Значение</x:v>
      </x:c>
    </x:row>
    <x:row r="4" ht="23" hidden="0" customHeight="1">
      <x:c r="A4" s="3" t="str">
        <x:v>Сайт</x:v>
      </x:c>
      <x:c r="B4" s="3" t="str">
        <x:v>https://confideline.com</x:v>
      </x:c>
    </x:row>
    <x:row r="5" ht="60.79999923706055" hidden="0" customHeight="1">
      <x:c r="A5" s="3" t="str">
        <x:v>Проход / даты наблюдений</x:v>
      </x:c>
      <x:c r="B5" s="3" t="str">
        <x:v>client-chat-audit-20261028-r2
Сценариев в R2: 39. FAIL 8, PASS 21, NOT_RUN 10. Открытых замечаний: 6. Нового исполнения сайта при объединении нет; приёмка NOT_COMPLETE.
28.10.2026, UTC в протоколе; Europe/Minsk +03:00</x:v>
      </x:c>
    </x:row>
    <x:row r="6" ht="23" hidden="0" customHeight="1">
      <x:c r="A6" s="3" t="str">
        <x:v>Приёмка</x:v>
      </x:c>
      <x:c r="B6" s="3" t="str">
        <x:v>NOT_COMPLETE</x:v>
      </x:c>
    </x:row>
    <x:row r="7" ht="23" hidden="0" customHeight="1">
      <x:c r="A7" s="6" t="str">
        <x:v>Сценарии: результат</x:v>
      </x:c>
      <x:c r="B7" s="6" t="str">
        <x:v>Количество</x:v>
      </x:c>
    </x:row>
    <x:row r="8" ht="23" hidden="0" customHeight="1">
      <x:c r="A8" s="3" t="str">
        <x:v>PASS</x:v>
      </x:c>
      <x:c r="B8" s="7" t="n">
        <x:f>COUNTIFS('Сценарии'!E2:E40,"PASS")</x:f>
        <x:v>21</x:v>
      </x:c>
    </x:row>
    <x:row r="9" ht="23" hidden="0" customHeight="1">
      <x:c r="A9" s="3" t="str">
        <x:v>FAIL</x:v>
      </x:c>
      <x:c r="B9" s="7" t="n">
        <x:f>COUNTIFS('Сценарии'!E2:E40,"FAIL")</x:f>
        <x:v>8</x:v>
      </x:c>
    </x:row>
    <x:row r="10" ht="23" hidden="0" customHeight="1">
      <x:c r="A10" s="3" t="str">
        <x:v>BLOCKED</x:v>
      </x:c>
      <x:c r="B10" s="7" t="n">
        <x:f>COUNTIFS('Сценарии'!E2:E40,"BLOCKED")</x:f>
        <x:v>0</x:v>
      </x:c>
    </x:row>
    <x:row r="11" ht="23" hidden="0" customHeight="1">
      <x:c r="A11" s="3" t="str">
        <x:v>NOT_RUN</x:v>
      </x:c>
      <x:c r="B11" s="7" t="n">
        <x:f>COUNTIFS('Сценарии'!E2:E40,"NOT_RUN")</x:f>
        <x:v>10</x:v>
      </x:c>
    </x:row>
    <x:row r="12" ht="23" hidden="0" customHeight="1">
      <x:c r="A12" s="3" t="str">
        <x:v>N/A</x:v>
      </x:c>
      <x:c r="B12" s="7" t="n">
        <x:f>COUNTIFS('Сценарии'!E2:E40,"N/A")</x:f>
        <x:v>0</x:v>
      </x:c>
    </x:row>
    <x:row r="13" ht="23" hidden="0" customHeight="1">
      <x:c r="A13" s="3" t="str">
        <x:v>INVALID</x:v>
      </x:c>
      <x:c r="B13" s="7" t="n">
        <x:f>COUNTIFS('Сценарии'!E2:E40,"INVALID")</x:f>
        <x:v>0</x:v>
      </x:c>
    </x:row>
    <x:row r="14" ht="23" hidden="0" customHeight="1">
      <x:c r="A14" s="3" t="str">
        <x:v>WARN</x:v>
      </x:c>
      <x:c r="B14" s="7" t="n">
        <x:f>COUNTIFS('Сценарии'!E2:E40,"WARN")</x:f>
        <x:v>0</x:v>
      </x:c>
    </x:row>
    <x:row r="15" ht="23" hidden="0" customHeight="1">
      <x:c r="A15" s="3" t="str">
        <x:v>Всего сценариев</x:v>
      </x:c>
      <x:c r="B15" s="7" t="n">
        <x:v>39</x:v>
      </x:c>
    </x:row>
    <x:row r="16" ht="23" hidden="0" customHeight="1">
      <x:c r="A16" s="3" t="str">
        <x:v>Язык интерфейса</x:v>
      </x:c>
      <x:c r="B16" s="3" t="str">
        <x:v>RU; английские надписи сверены с RU-макетом</x:v>
      </x:c>
    </x:row>
    <x:row r="17" ht="23" hidden="0" customHeight="1">
      <x:c r="A17" s="3" t="str">
        <x:v>Пункты передачи: FAIL</x:v>
      </x:c>
      <x:c r="B17" s="3" t="n">
        <x:f>COUNTIFS('Приёмка'!C2:C40,"FAIL")</x:f>
        <x:v>8</x:v>
      </x:c>
    </x:row>
    <x:row r="18" ht="23" hidden="0" customHeight="1">
      <x:c r="A18" s="3" t="str">
        <x:v>Пункты передачи: PASS</x:v>
      </x:c>
      <x:c r="B18" s="3" t="n">
        <x:f>COUNTIFS('Приёмка'!C2:C40,"PASS")</x:f>
        <x:v>21</x:v>
      </x:c>
    </x:row>
    <x:row r="19" ht="23" hidden="0" customHeight="1">
      <x:c r="A19" s="3" t="str">
        <x:v>Пункты передачи: NOT_RUN</x:v>
      </x:c>
      <x:c r="B19" s="3" t="n">
        <x:f>COUNTIFS('Приёмка'!C2:C40,"NOT_RUN")</x:f>
        <x:v>10</x:v>
      </x:c>
    </x:row>
    <x:row r="20" ht="23" hidden="0" customHeight="1">
      <x:c r="A20" s="3" t="str">
        <x:v>Подтверждённые дефекты</x:v>
      </x:c>
      <x:c r="B20" s="3" t="n">
        <x:v>6</x:v>
      </x:c>
    </x:row>
    <x:row r="21" ht="47.599998474121094" hidden="0" customHeight="1">
      <x:c r="A21" s="3" t="str">
        <x:v>Основание</x:v>
      </x:c>
      <x:c r="B21" s="3" t="str">
        <x:v>R2 объединён внутри прежнего комплекта: CC-F07 и решения по статусам/новому платному началу включены в основные документы и ZIP. Исходные 36 сценариев чата сохранены; добавлены 1 FAIL по снимку владельца и 2 NOT_RUN по новым требованиям. Новых live-тестов нет. CC-F03 об избранном остаётся отозванным.</x:v>
      </x:c>
    </x:row>
    <x:row r="22" ht="23" hidden="0" customHeight="1">
      <x:c r="A22" s="3" t="str">
        <x:v>Среда</x:v>
      </x:c>
      <x:c r="B22" s="3" t="str">
        <x:v>https://confideline.com, демоданные по назначению владельца</x:v>
      </x:c>
    </x:row>
    <x:row r="23" ht="23" hidden="0" customHeight="1">
      <x:c r="A23" s="3" t="str">
        <x:v>Дата</x:v>
      </x:c>
      <x:c r="B23" s="3" t="str">
        <x:v>28.10.2026, UTC в протоколе; Europe/Minsk +03:00</x:v>
      </x:c>
    </x:row>
    <x:row r="24" ht="23" hidden="0" customHeight="1">
      <x:c r="A24" s="3" t="str">
        <x:v>Роли</x:v>
      </x:c>
      <x:c r="B24" s="3" t="str">
        <x:v>IAB 2: Client #189; Chrome 3: Kristy #12, назначенные профили Talia/Solara. Эффективный доступ подтверждён UI.</x:v>
      </x:c>
    </x:row>
    <x:row r="25" ht="34.400001525878906" hidden="0" customHeight="1">
      <x:c r="A25" s="3" t="str">
        <x:v>Сборка</x:v>
      </x:c>
      <x:c r="B25" s="3" t="str">
        <x:v>Commit deployed-сервера не предоставлен. Версии CSS/JS и исходный пакет зафиксированы, не приравнены к server commit.</x:v>
      </x:c>
    </x:row>
    <x:row r="26" ht="23" hidden="0" customHeight="1">
      <x:c r="A26" s="3" t="str">
        <x:v>Viewport</x:v>
      </x:c>
      <x:c r="B26" s="3" t="str">
        <x:v>360/480/768/992/1280 CSS px, height720, scale=1, desktop renderer. Физические устройства не проверены.</x:v>
      </x:c>
    </x:row>
    <x:row r="27" ht="23" hidden="0" customHeight="1">
      <x:c r="A27" s="3" t="str">
        <x:v>Изменения стилей</x:v>
      </x:c>
      <x:c r="B27" s="3" t="str">
        <x:v>CSS/JS сайта и global_custom не менялись.</x:v>
      </x:c>
    </x:row>
    <x:row r="28" ht="23" hidden="0" customHeight="1">
      <x:c r="A28" s="3" t="str">
        <x:v>Граница денег</x:v>
      </x:c>
      <x:c r="B28" s="3" t="str">
        <x:v>Только существующие внутренние demo-кредиты. Stripe/card/billing реальные операции не выполнялись.</x:v>
      </x:c>
    </x:row>
    <x:row r="29" ht="23" hidden="0" customHeight="1">
      <x:c r="A29" s="3" t="str">
        <x:v>Серверный остаток</x:v>
      </x:c>
      <x:c r="B29" s="3" t="str">
        <x:v>Trial/low-balance, гонки и отрицательный доступ требуют отдельных подтверждённых fixtures.</x:v>
      </x:c>
    </x:row>
    <x:row r="30" ht="23" hidden="0" customHeight="1">
      <x:c r="A30" s="3" t="str">
        <x:v>Нативный Windows</x:v>
      </x:c>
      <x:c r="B30" s="3" t="str">
        <x:v>Успешный browser JS-dialog/login не является доказательством восстановления системного Computer Use.</x:v>
      </x:c>
    </x:row>
    <x:row r="31" ht="23" hidden="0" customHeight="1">
      <x:c r="A31" s="3" t="str">
        <x:v>Обновление R2</x:v>
      </x:c>
      <x:c r="B31" s="3" t="str">
        <x:v>28.10.2026: объединение решений владельца, без новой проверки сайта.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1" hidden="0" customWidth="1"/>
    <col min="2" max="2" width="64" hidden="0" customWidth="1"/>
    <col min="3" max="3" width="20" hidden="0" customWidth="1"/>
    <col min="4" max="4" width="88" hidden="0" customWidth="1"/>
    <col min="5" max="5" width="70" hidden="0" customWidth="1"/>
    <col min="6" max="6" width="65" hidden="0" customWidth="1"/>
    <col min="7" max="7" width="28" hidden="0" customWidth="1"/>
    <col min="8" max="8" width="78" hidden="0" customWidth="1"/>
    <col min="9" max="9" width="42" hidden="0" customWidth="1"/>
    <col min="10" max="10" width="55" hidden="0" customWidth="1"/>
    <col min="11" max="11" width="72" hidden="0" customWidth="1"/>
    <col min="12" max="12" width="26" hidden="0" customWidth="1"/>
  </cols>
  <sheetData>
    <row r="1" ht="23" hidden="0" customHeight="1">
      <c r="A1" s="6" t="str">
        <v>ID</v>
      </c>
      <c r="B1" s="6" t="str">
        <v>Критерий проверки</v>
      </c>
      <c r="C1" s="6" t="str">
        <v>Результат приёмки</v>
      </c>
      <c r="D1" s="6" t="str">
        <v>Доказано / критерий</v>
      </c>
      <c r="E1" s="6" t="str">
        <v>Остаток</v>
      </c>
      <c r="F1" s="6" t="str">
        <v>Причина</v>
      </c>
      <c r="G1" s="6" t="str">
        <v>Ответственный</v>
      </c>
      <c r="H1" s="6" t="str">
        <v>Следующий шаг</v>
      </c>
      <c r="I1" s="6" t="str">
        <v>Связанные сценарии</v>
      </c>
      <c r="J1" s="6" t="str">
        <v>Доказательства</v>
      </c>
      <c r="K1" s="6" t="str">
        <v>Источник</v>
      </c>
      <c r="L1" s="6" t="str">
        <v>Открыть</v>
      </c>
    </row>
    <row r="2" ht="60.79999923706055" hidden="0" customHeight="1">
      <c r="A2" s="3" t="str">
        <v>CHAT-TERMS-01</v>
      </c>
      <c r="B2" s="3" t="str">
        <v>Открыть условия до запроса</v>
      </c>
      <c r="C2" s="3" t="str">
        <v>FAIL</v>
      </c>
      <c r="D2" s="3" t="str">
        <v>Критерий: Бесплатный первичный запрос; отдельное согласие на предложение, RU-текст
Доказано: Панель: A client request is consent..., required balance to request or accept 30 credits; основной запрос не обозначен бесплатным. Копия панели и компактная панель показаны одновременно.</v>
      </c>
      <c r="E2" s="3" t="str"/>
      <c r="F2" s="3" t="str"/>
      <c r="G2" s="3" t="str">
        <v>Игорь / Codex по указанному следующему шагу</v>
      </c>
      <c r="H2" s="3" t="str">
        <v>Исправить подтверждённый дефект и повторить те же шаги.</v>
      </c>
      <c r="I2" s="3" t="str">
        <v>CHAT-TERMS-01</v>
      </c>
      <c r="J2" s="3" t="str">
        <v>2 файлов. Основное: evidence/originals/client-terms-before.jpg
Полный список: лист Источники</v>
      </c>
      <c r="K2" s="3" t="str">
        <v>sources/TZ.md</v>
      </c>
      <c r="L2" s="3" t="str">
        <v>Доказательство</v>
      </c>
    </row>
    <row r="3" ht="34.400001525878906" hidden="0" customHeight="1">
      <c r="A3" s="3" t="str">
        <v>CHAT-TERMS-02</v>
      </c>
      <c r="B3" s="3" t="str">
        <v>Открыть условия → Escape</v>
      </c>
      <c r="C3" s="3" t="str">
        <v>PASS</v>
      </c>
      <c r="D3" s="3" t="str">
        <v>Критерий: Панель закрыта, focus вернулся к кнопке тарифа
Доказано: Escape закрывает панель, document.activeElement aria-label=Consultation details.</v>
      </c>
      <c r="E3" s="3" t="str"/>
      <c r="F3" s="3" t="str"/>
      <c r="G3" s="3" t="str">
        <v>Игорь / Codex по указанному следующему шагу</v>
      </c>
      <c r="H3" s="3" t="str">
        <v>Сохранить результат; повторить после изменения затронутой реализации.</v>
      </c>
      <c r="I3" s="3" t="str">
        <v>CHAT-TERMS-02</v>
      </c>
      <c r="J3" s="3" t="str">
        <v>2 файлов. Основное: evidence/originals/chat-terms-360.png
Полный список: лист Источники</v>
      </c>
      <c r="K3" s="3" t="str">
        <v>sources/TZ.md</v>
      </c>
      <c r="L3" s="3" t="str">
        <v>Доказательство</v>
      </c>
    </row>
    <row r="4" ht="47.599998474121094" hidden="0" customHeight="1">
      <c r="A4" s="3" t="str">
        <v>CHAT-LIST-01</v>
      </c>
      <c r="B4" s="3" t="str">
        <v>Search contact: Solara, затем QA-NO-MATCH-20261028</v>
      </c>
      <c r="C4" s="3" t="str">
        <v>PASS</v>
      </c>
      <c r="D4" s="3" t="str">
        <v>Критерий: Совпадение и явное пустое состояние
Доказано: Solara ограничивает список разрешённым peer; отсутствующий маркер показывает No conversations found и Обзор людей. Очистка возвращает список.</v>
      </c>
      <c r="E4" s="3" t="str"/>
      <c r="F4" s="3" t="str"/>
      <c r="G4" s="3" t="str">
        <v>Игорь / Codex по указанному следующему шагу</v>
      </c>
      <c r="H4" s="3" t="str">
        <v>Сохранить результат; повторить после изменения затронутой реализации.</v>
      </c>
      <c r="I4" s="3" t="str">
        <v>CHAT-LIST-01</v>
      </c>
      <c r="J4" s="3" t="str">
        <v>1 файлов. Основное: evidence/protocol.json
Полный список: лист Источники</v>
      </c>
      <c r="K4" s="3" t="str">
        <v>sources/TZ.md</v>
      </c>
      <c r="L4" s="3" t="str">
        <v>Доказательство</v>
      </c>
    </row>
    <row r="5" ht="47.599998474121094" hidden="0" customHeight="1">
      <c r="A5" s="3" t="str">
        <v>CHAT-MSG-01</v>
      </c>
      <c r="B5" s="3" t="str">
        <v>Однократная отправка C1, независимый readback у оператора и reload клиента</v>
      </c>
      <c r="C5" s="3" t="str">
        <v>PASS</v>
      </c>
      <c r="D5" s="3" t="str">
        <v>Критерий: Одна доставленная запись; Unicode и перенос строки сохранены
Доказано: В диалоге #57 обе стороны видят C1 с 🙂 😀 Ж € ✓ и второй строкой; после reload запись сохранена. Баланс до старта 8546.00.</v>
      </c>
      <c r="E5" s="3" t="str"/>
      <c r="F5" s="3" t="str"/>
      <c r="G5" s="3" t="str">
        <v>Игорь / Codex по указанному следующему шагу</v>
      </c>
      <c r="H5" s="3" t="str">
        <v>Сохранить результат; повторить после изменения затронутой реализации.</v>
      </c>
      <c r="I5" s="3" t="str">
        <v>CHAT-MSG-01</v>
      </c>
      <c r="J5" s="3" t="str">
        <v>2 файлов. Основное: evidence/originals/client-message-delivery.jpg
Полный список: лист Источники</v>
      </c>
      <c r="K5" s="3" t="str">
        <v>sources/TZ.md</v>
      </c>
      <c r="L5" s="3" t="str">
        <v>Доказательство</v>
      </c>
    </row>
    <row r="6" ht="47.599998474121094" hidden="0" customHeight="1">
      <c r="A6" s="3" t="str">
        <v>CHAT-MSG-02</v>
      </c>
      <c r="B6" s="3" t="str">
        <v>Ответ оператора A1 с обычной защитой отправки</v>
      </c>
      <c r="C6" s="3" t="str">
        <v>PASS</v>
      </c>
      <c r="D6" s="3" t="str">
        <v>Критерий: Ответ доставлен клиенту без искажения
Доказано: После штатной 5-секундной разблокировки и одной отправки клиент получил A1 со всеми Unicode символами.</v>
      </c>
      <c r="E6" s="3" t="str"/>
      <c r="F6" s="3" t="str"/>
      <c r="G6" s="3" t="str">
        <v>Игорь / Codex по указанному следующему шагу</v>
      </c>
      <c r="H6" s="3" t="str">
        <v>Сохранить результат; повторить после изменения затронутой реализации.</v>
      </c>
      <c r="I6" s="3" t="str">
        <v>CHAT-MSG-02</v>
      </c>
      <c r="J6" s="3" t="str">
        <v>1 файлов. Основное: evidence/protocol.json
Полный список: лист Источники</v>
      </c>
      <c r="K6" s="3" t="str">
        <v>sources/TZ.md</v>
      </c>
      <c r="L6" s="3" t="str">
        <v>Доказательство</v>
      </c>
    </row>
    <row r="7" ht="47.599998474121094" hidden="0" customHeight="1">
      <c r="A7" s="3" t="str">
        <v>CHAT-PAID-01</v>
      </c>
      <c r="B7" s="3" t="str">
        <v>Клиент нажимает первичный Request paid consultation в диалоге #56</v>
      </c>
      <c r="C7" s="3" t="str">
        <v>FAIL</v>
      </c>
      <c r="D7" s="3" t="str">
        <v>Критерий: Только бесплатный запрос; ожидание предложения с отдельным принятием условий
Доказано: Без предложения и checkbox сервер создал session #26, оператор видит Готов к подключению и Start client-requested consultation. Баланс 8546.00 не изменился.</v>
      </c>
      <c r="E7" s="3" t="str"/>
      <c r="F7" s="3" t="str"/>
      <c r="G7" s="3" t="str">
        <v>Игорь / Codex по указанному следующему шагу</v>
      </c>
      <c r="H7" s="3" t="str">
        <v>Исправить подтверждённый дефект и повторить те же шаги.</v>
      </c>
      <c r="I7" s="3" t="str">
        <v>CHAT-PAID-01</v>
      </c>
      <c r="J7" s="3" t="str">
        <v>3 файлов. Основное: evidence/originals/client-request-ready.jpg
Полный список: лист Источники</v>
      </c>
      <c r="K7" s="3" t="str">
        <v>sources/TZ.md</v>
      </c>
      <c r="L7" s="3" t="str">
        <v>Доказательство</v>
      </c>
    </row>
    <row r="8" ht="47.599998474121094" hidden="0" customHeight="1">
      <c r="A8" s="3" t="str">
        <v>CHAT-PAID-02</v>
      </c>
      <c r="B8" s="3" t="str">
        <v>Оператор подключает session #26, затем ставит на паузу</v>
      </c>
      <c r="C8" s="3" t="str">
        <v>PASS</v>
      </c>
      <c r="D8" s="3" t="str">
        <v>Критерий: Запрос бесплатен; списание только после старта; пауза останавливает биллинг
Доказано: До старта 8546.00, после активного старта 8536.00: первая минута 10 кредитов. Обе стороны показывают активна, затем пауза.</v>
      </c>
      <c r="E8" s="3" t="str"/>
      <c r="F8" s="3" t="str"/>
      <c r="G8" s="3" t="str">
        <v>Игорь / Codex по указанному следующему шагу</v>
      </c>
      <c r="H8" s="3" t="str">
        <v>Сохранить результат; повторить после изменения затронутой реализации.</v>
      </c>
      <c r="I8" s="3" t="str">
        <v>CHAT-PAID-02</v>
      </c>
      <c r="J8" s="3" t="str">
        <v>3 файлов. Основное: evidence/originals/client-session-active.jpg
Полный список: лист Источники</v>
      </c>
      <c r="K8" s="3" t="str">
        <v>sources/TZ.md</v>
      </c>
      <c r="L8" s="3" t="str">
        <v>Доказательство</v>
      </c>
    </row>
    <row r="9" ht="47.599998474121094" hidden="0" customHeight="1">
      <c r="A9" s="3" t="str">
        <v>CHAT-DRAFT-01</v>
      </c>
      <c r="B9" s="3" t="str">
        <v>Ввести черновик в #56; Help в отдельной вкладке; reload чата</v>
      </c>
      <c r="C9" s="3" t="str">
        <v>PASS</v>
      </c>
      <c r="D9" s="3" t="str">
        <v>Критерий: Черновик и выбранный peer сохранены
Доказано: После Help и reload выбран Solara/#56, текст QA-DRAFT восстановлен, баланс обновлён до 8536.00.</v>
      </c>
      <c r="E9" s="3" t="str"/>
      <c r="F9" s="3" t="str"/>
      <c r="G9" s="3" t="str">
        <v>Игорь / Codex по указанному следующему шагу</v>
      </c>
      <c r="H9" s="3" t="str">
        <v>Сохранить результат; повторить после изменения затронутой реализации.</v>
      </c>
      <c r="I9" s="3" t="str">
        <v>CHAT-DRAFT-01</v>
      </c>
      <c r="J9" s="3" t="str">
        <v>1 файлов. Основное: evidence/protocol.json
Полный список: лист Источники</v>
      </c>
      <c r="K9" s="3" t="str">
        <v>sources/TZ.md</v>
      </c>
      <c r="L9" s="3" t="str">
        <v>Доказательство</v>
      </c>
    </row>
    <row r="10" ht="60.79999923706055" hidden="0" customHeight="1">
      <c r="A10" s="3" t="str">
        <v>CHAT-FAVORITE-01</v>
      </c>
      <c r="B10" s="3" t="str">
        <v>Изолированно Добавить в избранное → дождаться результата без переключения фильтра</v>
      </c>
      <c r="C10" s="3" t="str">
        <v>PASS</v>
      </c>
      <c r="D10" s="3" t="str">
        <v>Критерий: При Premium-ограничении показано пояснение, нет ложного добавления
Доказано: Показано модальное окно Получить Premium с Only Premium can mark profiles as favorites... и OK. Ограничение объяснено, профиль не добавлен. Ранний FAIL после быстрого переключения фильтра отозван. Английский текст учтён отдельно в CHAT-RU-01.</v>
      </c>
      <c r="E10" s="3" t="str"/>
      <c r="F10" s="3" t="str"/>
      <c r="G10" s="3" t="str">
        <v>Игорь / Codex по указанному следующему шагу</v>
      </c>
      <c r="H10" s="3" t="str">
        <v>Сохранить результат; повторить после изменения затронутой реализации.</v>
      </c>
      <c r="I10" s="3" t="str">
        <v>CHAT-FAVORITE-01</v>
      </c>
      <c r="J10" s="3" t="str">
        <v>2 файлов. Основное: evidence/originals/favorite-isolated-final.jpg
Полный список: лист Источники</v>
      </c>
      <c r="K10" s="3" t="str">
        <v>sources/TZ.md</v>
      </c>
      <c r="L10" s="3" t="str">
        <v>Доказательство</v>
      </c>
    </row>
    <row r="11" ht="47.599998474121094" hidden="0" customHeight="1">
      <c r="A11" s="3" t="str">
        <v>CHAT-PAID-03</v>
      </c>
      <c r="B11" s="3" t="str">
        <v>Пауза &gt;3 минут, resume, завершить, открыть billing inspector</v>
      </c>
      <c r="C11" s="3" t="str">
        <v>PASS</v>
      </c>
      <c r="D11" s="3" t="str">
        <v>Критерий: Пауза не оплачивается; конечный дебет согласуется с первой минутой, баланс и ledger
Доказано: Session #26/ss-51ee2f0f849888322a3acec6 завершена, сервер 27 активных секунд, 60 оплаченных секунд, wallet #266 -10.00; 8546→8536, новых дебетов при паузе и завершении нет.</v>
      </c>
      <c r="E11" s="3" t="str"/>
      <c r="F11" s="3" t="str"/>
      <c r="G11" s="3" t="str">
        <v>Игорь / Codex по указанному следующему шагу</v>
      </c>
      <c r="H11" s="3" t="str">
        <v>Сохранить результат; повторить после изменения затронутой реализации.</v>
      </c>
      <c r="I11" s="3" t="str">
        <v>CHAT-PAID-03</v>
      </c>
      <c r="J11" s="3" t="str">
        <v>2 файлов. Основное: evidence/originals/operator-billing-ledger-266.jpg
Полный список: лист Источники</v>
      </c>
      <c r="K11" s="3" t="str">
        <v>sources/TZ.md</v>
      </c>
      <c r="L11" s="3" t="str">
        <v>Доказательство</v>
      </c>
    </row>
    <row r="12" ht="47.599998474121094" hidden="0" customHeight="1">
      <c r="A12" s="3" t="str">
        <v>CHAT-FILE-01</v>
      </c>
      <c r="B12" s="3" t="str">
        <v>Выбрать TXT и отправить с подписью</v>
      </c>
      <c r="C12" s="3" t="str">
        <v>PASS</v>
      </c>
      <c r="D12" s="3" t="str">
        <v>Критерий: Разрешённый файл с Unicode подписью доставлен обеим сторонам
Доказано: qa-chat-small.txt 76 B с FILE-подписью получен оператором в #56. EXE отклонён видимым сообщением о правилах выбора, вложение не создано.</v>
      </c>
      <c r="E12" s="3" t="str"/>
      <c r="F12" s="3" t="str"/>
      <c r="G12" s="3" t="str">
        <v>Игорь / Codex по указанному следующему шагу</v>
      </c>
      <c r="H12" s="3" t="str">
        <v>Сохранить результат; повторить после изменения затронутой реализации.</v>
      </c>
      <c r="I12" s="3" t="str">
        <v>CHAT-FILE-01</v>
      </c>
      <c r="J12" s="3" t="str">
        <v>1 файлов. Основное: evidence/protocol.json
Полный список: лист Источники</v>
      </c>
      <c r="K12" s="3" t="str">
        <v>sources/TZ.md</v>
      </c>
      <c r="L12" s="3" t="str">
        <v>Доказательство</v>
      </c>
    </row>
    <row r="13" ht="60.79999923706055" hidden="0" customHeight="1">
      <c r="A13" s="3" t="str">
        <v>CHAT-COMPOSER-02</v>
      </c>
      <c r="B13" s="3" t="str">
        <v>В свободном редакторе ввести EMOJI-префикс → Emoji → 😀 → отдельный readback</v>
      </c>
      <c r="C13" s="3" t="str">
        <v>FAIL</v>
      </c>
      <c r="D13" s="3" t="str">
        <v>Критерий: К тексту добавляется выбранный emoji
Доказано: Палитра закрывается, но поле остаётся ровно QA-CHAT-20261028-R1-EMOJI: без 😀. Проверено изолированно, незавершённых Send нет. Раннее предположение о неработающей цитате отозвано: CHAT-QUOTE-01 подтверждает её работу.</v>
      </c>
      <c r="E13" s="3" t="str"/>
      <c r="F13" s="3" t="str"/>
      <c r="G13" s="3" t="str">
        <v>Игорь / Codex по указанному следующему шагу</v>
      </c>
      <c r="H13" s="3" t="str">
        <v>Исправить подтверждённый дефект и повторить те же шаги.</v>
      </c>
      <c r="I13" s="3" t="str">
        <v>CHAT-COMPOSER-02</v>
      </c>
      <c r="J13" s="3" t="str">
        <v>2 файлов. Основное: evidence/originals/chat-emoji-isolated.jpg
Полный список: лист Источники</v>
      </c>
      <c r="K13" s="3" t="str">
        <v>sources/TZ.md</v>
      </c>
      <c r="L13" s="3" t="str">
        <v>Доказательство</v>
      </c>
    </row>
    <row r="14" ht="47.599998474121094" hidden="0" customHeight="1">
      <c r="A14" s="3" t="str">
        <v>CHAT-PAID-04</v>
      </c>
      <c r="B14" s="3" t="str">
        <v>Оператор Offer; клиент Принять предложение</v>
      </c>
      <c r="C14" s="3" t="str">
        <v>FAIL</v>
      </c>
      <c r="D14" s="3" t="str">
        <v>Критерий: Рассмотреть открывает условия; требуется отдельный checkbox и явное принятие
Доказано: Принять предложение сразу переводит session в Готов к подключению, checkbox отсутствует; промежуточного просмотра существенных условий нет. Списание не началось, 8536.00.</v>
      </c>
      <c r="E14" s="3" t="str"/>
      <c r="F14" s="3" t="str"/>
      <c r="G14" s="3" t="str">
        <v>Игорь / Codex по указанному следующему шагу</v>
      </c>
      <c r="H14" s="3" t="str">
        <v>Исправить подтверждённый дефект и повторить те же шаги.</v>
      </c>
      <c r="I14" s="3" t="str">
        <v>CHAT-PAID-04</v>
      </c>
      <c r="J14" s="3" t="str">
        <v>2 файлов. Основное: evidence/originals/client-offer-direct-accept.jpg
Полный список: лист Источники</v>
      </c>
      <c r="K14" s="3" t="str">
        <v>sources/TZ.md</v>
      </c>
      <c r="L14" s="3" t="str">
        <v>Доказательство</v>
      </c>
    </row>
    <row r="15" ht="47.599998474121094" hidden="0" customHeight="1">
      <c r="A15" s="3" t="str">
        <v>CHAT-LIMIT-01</v>
      </c>
      <c r="B15" s="3" t="str">
        <v>990 символов + обычный клавиатурный ввод сверх лимита; отправить один раз</v>
      </c>
      <c r="C15" s="3" t="str">
        <v>PASS</v>
      </c>
      <c r="D15" s="3" t="str">
        <v>Критерий: Ровно 1000 символов; независимая доставка 1000
Доказано: Клавиатурный ввод остановился на maxLength=1000, validity=true. В сообщении обе стороны получили 1000 символов с маркером LIMIT.</v>
      </c>
      <c r="E15" s="3" t="str"/>
      <c r="F15" s="3" t="str"/>
      <c r="G15" s="3" t="str">
        <v>Игорь / Codex по указанному следующему шагу</v>
      </c>
      <c r="H15" s="3" t="str">
        <v>Сохранить результат; повторить после изменения затронутой реализации.</v>
      </c>
      <c r="I15" s="3" t="str">
        <v>CHAT-LIMIT-01</v>
      </c>
      <c r="J15" s="3" t="str">
        <v>1 файлов. Основное: evidence/protocol.json
Полный список: лист Источники</v>
      </c>
      <c r="K15" s="3" t="str">
        <v>sources/TZ.md</v>
      </c>
      <c r="L15" s="3" t="str">
        <v>Доказательство</v>
      </c>
    </row>
    <row r="16" ht="60.79999923706055" hidden="0" customHeight="1">
      <c r="A16" s="3" t="str">
        <v>CHAT-FILE-02</v>
      </c>
      <c r="B16" s="3" t="str">
        <v>Синтетический PNG с подписью; TXT download через авторизованный IAB</v>
      </c>
      <c r="C16" s="3" t="str">
        <v>PASS</v>
      </c>
      <c r="D16" s="3" t="str">
        <v>Критерий: Изображение/подпись доставлены, TXT скачивается без искажения
Доказано: PNG доставлен в #56 обеим сторонам. TXT attachment#44 скачан штатным downloadMedia, 76 байт и SHA256 fba4bb307bb78eabe033570bc024cee8a83a7581ebd8fed6149b471391f27565 совпали с исходником.</v>
      </c>
      <c r="E16" s="3" t="str"/>
      <c r="F16" s="3" t="str"/>
      <c r="G16" s="3" t="str">
        <v>Игорь / Codex по указанному следующему шагу</v>
      </c>
      <c r="H16" s="3" t="str">
        <v>Сохранить результат; повторить после изменения затронутой реализации.</v>
      </c>
      <c r="I16" s="3" t="str">
        <v>CHAT-FILE-02</v>
      </c>
      <c r="J16" s="3" t="str">
        <v>2 файлов. Основное: evidence/originals/received-attachment44.txt
Полный список: лист Источники</v>
      </c>
      <c r="K16" s="3" t="str">
        <v>sources/TZ.md</v>
      </c>
      <c r="L16" s="3" t="str">
        <v>Доказательство</v>
      </c>
    </row>
    <row r="17" ht="60.79999923706055" hidden="0" customHeight="1">
      <c r="A17" s="3" t="str">
        <v>CHAT-NET-01</v>
      </c>
      <c r="B17" s="3" t="str">
        <v>Временный offline текущей вкладки; одна Send; сеть восстановлена; Retry same message</v>
      </c>
      <c r="C17" s="3" t="str">
        <v>PASS</v>
      </c>
      <c r="D17" s="3" t="str">
        <v>Критерий: Текст сохранён; исходная операция сверяется без дубликата
Доказано: При offline: unknown, исходный текст сохранён и новый Send заблокирован. После восстановления сети Retry same message доставил один экземпляр оператору; приложение очистило draft. Сеть восстановлена.</v>
      </c>
      <c r="E17" s="3" t="str"/>
      <c r="F17" s="3" t="str"/>
      <c r="G17" s="3" t="str">
        <v>Игорь / Codex по указанному следующему шагу</v>
      </c>
      <c r="H17" s="3" t="str">
        <v>Сохранить результат; повторить после изменения затронутой реализации.</v>
      </c>
      <c r="I17" s="3" t="str">
        <v>CHAT-NET-01</v>
      </c>
      <c r="J17" s="3" t="str">
        <v>2 файлов. Основное: evidence/originals/chat-offline-unknown-retained.jpg
Полный список: лист Источники</v>
      </c>
      <c r="K17" s="3" t="str">
        <v>sources/TZ.md</v>
      </c>
      <c r="L17" s="3" t="str">
        <v>Доказательство</v>
      </c>
    </row>
    <row r="18" ht="47.599998474121094" hidden="0" customHeight="1">
      <c r="A18" s="3" t="str">
        <v>CHAT-DELETE-01</v>
      </c>
      <c r="B18" s="3" t="str">
        <v>Меню Удаление беседы → Отмена</v>
      </c>
      <c r="C18" s="3" t="str">
        <v>PASS</v>
      </c>
      <c r="D18" s="3" t="str">
        <v>Критерий: Есть подтверждение; отмена не удаляет диалог/сообщения
Доказано: Открыто Удалить эту беседу? с Отмена/Удалить. Отмена сохранила #56 и OFFLINE-сообщение. Необратимое удаление старой истории не выполнялось.</v>
      </c>
      <c r="E18" s="3" t="str"/>
      <c r="F18" s="3" t="str"/>
      <c r="G18" s="3" t="str">
        <v>Игорь / Codex по указанному следующему шагу</v>
      </c>
      <c r="H18" s="3" t="str">
        <v>Сохранить результат; повторить после изменения затронутой реализации.</v>
      </c>
      <c r="I18" s="3" t="str">
        <v>CHAT-DELETE-01</v>
      </c>
      <c r="J18" s="3" t="str">
        <v>2 файлов. Основное: evidence/originals/chat-delete-confirm.jpg
Полный список: лист Источники</v>
      </c>
      <c r="K18" s="3" t="str">
        <v>sources/TZ.md</v>
      </c>
      <c r="L18" s="3" t="str">
        <v>Доказательство</v>
      </c>
    </row>
    <row r="19" ht="47.599998474121094" hidden="0" customHeight="1">
      <c r="A19" s="3" t="str">
        <v>CHAT-FILE-LIMIT-01</v>
      </c>
      <c r="B19" s="3" t="str">
        <v>EXE, 6 малых TXT, отдельный 16 MiB, три по 9 MiB</v>
      </c>
      <c r="C19" s="3" t="str">
        <v>PASS</v>
      </c>
      <c r="D19" s="3" t="str">
        <v>Критерий: Запрещённые/сверхлимитные файлы не отправляются; ≤5/10MiB/25MiB
Доказано: EXE и 16MiB отклонены; шесть малых ограничены пятью; суммарные 27MiB отклонены без очереди. Крупные тестовые файлы не отправлены.</v>
      </c>
      <c r="E19" s="3" t="str"/>
      <c r="F19" s="3" t="str"/>
      <c r="G19" s="3" t="str">
        <v>Игорь / Codex по указанному следующему шагу</v>
      </c>
      <c r="H19" s="3" t="str">
        <v>Сохранить результат; повторить после изменения затронутой реализации.</v>
      </c>
      <c r="I19" s="3" t="str">
        <v>CHAT-FILE-LIMIT-01</v>
      </c>
      <c r="J19" s="3" t="str">
        <v>2 файлов. Основное: evidence/originals/chat-total-limit.jpg
Полный список: лист Источники</v>
      </c>
      <c r="K19" s="3" t="str">
        <v>sources/TZ.md</v>
      </c>
      <c r="L19" s="3" t="str">
        <v>Доказательство</v>
      </c>
    </row>
    <row r="20" ht="60.79999923706055" hidden="0" customHeight="1">
      <c r="A20" s="3" t="str">
        <v>CHAT-QUOTE-01</v>
      </c>
      <c r="B20" s="3" t="str">
        <v>Reply на OFFLINE → текст QUOTE → отправка; выбрать/снять Select message</v>
      </c>
      <c r="C20" s="3" t="str">
        <v>PASS</v>
      </c>
      <c r="D20" s="3" t="str">
        <v>Критерий: Цитата сохраняет исходное сообщение, выбор показывает число и снимается
Доказано: Показано Reply to QA Client и Cancel reply; QUOTE отправлен с цитатой OFFLINE, оператор получил. Select message меняет aria-pressed=true, появляется 1 у удаления; повтор снимает выбор. Удаление не выполнялось.</v>
      </c>
      <c r="E20" s="3" t="str"/>
      <c r="F20" s="3" t="str"/>
      <c r="G20" s="3" t="str">
        <v>Игорь / Codex по указанному следующему шагу</v>
      </c>
      <c r="H20" s="3" t="str">
        <v>Сохранить результат; повторить после изменения затронутой реализации.</v>
      </c>
      <c r="I20" s="3" t="str">
        <v>CHAT-QUOTE-01</v>
      </c>
      <c r="J20" s="3" t="str">
        <v>1 файлов. Основное: evidence/protocol.json
Полный список: лист Источники</v>
      </c>
      <c r="K20" s="3" t="str">
        <v>sources/TZ.md</v>
      </c>
      <c r="L20" s="3" t="str">
        <v>Доказательство</v>
      </c>
    </row>
    <row r="21" ht="47.599998474121094" hidden="0" customHeight="1">
      <c r="A21" s="3" t="str">
        <v>CHAT-SEARCH-01</v>
      </c>
      <c r="B21" s="3" t="str">
        <v>Маркер в поиске истории → Previous → отсутствующий текст → очистка</v>
      </c>
      <c r="C21" s="3" t="str">
        <v>PASS</v>
      </c>
      <c r="D21" s="3" t="str">
        <v>Критерий: Совпадения и переходы работают, нет результата показано явно
Доказано: QA-маркер дал 5 совпадений, Previous изменил счётчик на 2/5; отсутствующий текст показал Совпадений не найдено. Очистка/закрытие возвращает историю.</v>
      </c>
      <c r="E21" s="3" t="str"/>
      <c r="F21" s="3" t="str"/>
      <c r="G21" s="3" t="str">
        <v>Игорь / Codex по указанному следующему шагу</v>
      </c>
      <c r="H21" s="3" t="str">
        <v>Сохранить результат; повторить после изменения затронутой реализации.</v>
      </c>
      <c r="I21" s="3" t="str">
        <v>CHAT-SEARCH-01</v>
      </c>
      <c r="J21" s="3" t="str">
        <v>1 файлов. Основное: evidence/protocol.json
Полный список: лист Источники</v>
      </c>
      <c r="K21" s="3" t="str">
        <v>sources/TZ.md</v>
      </c>
      <c r="L21" s="3" t="str">
        <v>Доказательство</v>
      </c>
    </row>
    <row r="22" ht="47.599998474121094" hidden="0" customHeight="1">
      <c r="A22" s="3" t="str">
        <v>CHAT-UI-01</v>
      </c>
      <c r="B22" s="3" t="str">
        <v>Условия на 360 и 1280px</v>
      </c>
      <c r="C22" s="3" t="str">
        <v>FAIL</v>
      </c>
      <c r="D22" s="3" t="str">
        <v>Критерий: При открытых условиях компактная тарифная панель скрыта согласно TZ
Доказано: Полная панель условий и компактная панель тарифа одновременно присутствуют на обоих размерах.</v>
      </c>
      <c r="E22" s="3" t="str"/>
      <c r="F22" s="3" t="str"/>
      <c r="G22" s="3" t="str">
        <v>Игорь / Codex по указанному следующему шагу</v>
      </c>
      <c r="H22" s="3" t="str">
        <v>Исправить подтверждённый дефект и повторить те же шаги.</v>
      </c>
      <c r="I22" s="3" t="str">
        <v>CHAT-UI-01</v>
      </c>
      <c r="J22" s="3" t="str">
        <v>3 файлов. Основное: evidence/originals/chat-terms-360.png
Полный список: лист Источники</v>
      </c>
      <c r="K22" s="3" t="str">
        <v>sources/TZ.md</v>
      </c>
      <c r="L22" s="3" t="str">
        <v>Доказательство</v>
      </c>
    </row>
    <row r="23" ht="47.599998474121094" hidden="0" customHeight="1">
      <c r="A23" s="3" t="str">
        <v>CHAT-UI-02</v>
      </c>
      <c r="B23" s="3" t="str">
        <v>Открыть диалог при 360 CSS px</v>
      </c>
      <c r="C23" s="3" t="str">
        <v>FAIL</v>
      </c>
      <c r="D23" s="3" t="str">
        <v>Критерий: Placeholder/текст редактора читаем, без внутренней обрезки пустого поля
Доказано: Пустой placeholder Введите ваше сообщение... переносится на вторую обрезанную строку; внутри пустого поля видна прокрутка.</v>
      </c>
      <c r="E23" s="3" t="str"/>
      <c r="F23" s="3" t="str"/>
      <c r="G23" s="3" t="str">
        <v>Игорь / Codex по указанному следующему шагу</v>
      </c>
      <c r="H23" s="3" t="str">
        <v>Исправить подтверждённый дефект и повторить те же шаги.</v>
      </c>
      <c r="I23" s="3" t="str">
        <v>CHAT-UI-02</v>
      </c>
      <c r="J23" s="3" t="str">
        <v>2 файлов. Основное: evidence/originals/chat-thread-360.png
Полный список: лист Источники</v>
      </c>
      <c r="K23" s="3" t="str">
        <v>sources/TZ.md</v>
      </c>
      <c r="L23" s="3" t="str">
        <v>Доказательство</v>
      </c>
    </row>
    <row r="24" ht="47.599998474121094" hidden="0" customHeight="1">
      <c r="A24" s="3" t="str">
        <v>CHAT-RU-01</v>
      </c>
      <c r="B24" s="3" t="str">
        <v>Открыть RU-чат, список, условия, файлы</v>
      </c>
      <c r="C24" s="3" t="str">
        <v>FAIL</v>
      </c>
      <c r="D24" s="3" t="str">
        <v>Критерий: Подписи соответствуют RU-макету поставки
Доказано: Search contact, Unread, Consultation details, Request paid consultation, Drafts..., Photos and documents и существенные условия остаются на английском.</v>
      </c>
      <c r="E24" s="3" t="str"/>
      <c r="F24" s="3" t="str"/>
      <c r="G24" s="3" t="str">
        <v>Игорь / Codex по указанному следующему шагу</v>
      </c>
      <c r="H24" s="3" t="str">
        <v>Исправить подтверждённый дефект и повторить те же шаги.</v>
      </c>
      <c r="I24" s="3" t="str">
        <v>CHAT-RU-01</v>
      </c>
      <c r="J24" s="3" t="str">
        <v>3 файлов. Основное: evidence/originals/client-terms-before.jpg
Полный список: лист Источники</v>
      </c>
      <c r="K24" s="3" t="str">
        <v>sources/TZ.md</v>
      </c>
      <c r="L24" s="3" t="str">
        <v>Доказательство</v>
      </c>
    </row>
    <row r="25" ht="74" hidden="0" customHeight="1">
      <c r="A25" s="3" t="str">
        <v>CHAT-PAID-05</v>
      </c>
      <c r="B25" s="3" t="str">
        <v>Финальный расчёт сверх первой минуты</v>
      </c>
      <c r="C25" s="3" t="str">
        <v>PASS</v>
      </c>
      <c r="D25" s="3" t="str">
        <v>Критерий: Первая минута 10 + ceil(45 × 10 / 60)=8, всего18; после завершения один финальный debit и актуальный readback обеих ролей.
Доказано: Session#27 ss-01c1f0a62ee9b8cd7abaeb37 завершена:105 активных/105 оплаченных секунд; #268 -10 и #269 -8 (15:07UTC), 8536→8518. Client Final calculation completed;18 credits. Всего в этом QA 28 demo-кредитов (session26=10, session27=18). Активного биллинга и ожидания старта нет.</v>
      </c>
      <c r="E25" s="3" t="str"/>
      <c r="F25" s="3" t="str"/>
      <c r="G25" s="3" t="str">
        <v>Игорь / Codex по указанному следующему шагу</v>
      </c>
      <c r="H25" s="3" t="str">
        <v>Сохранить результат; повторить после изменения затронутой реализации.</v>
      </c>
      <c r="I25" s="3" t="str">
        <v>CHAT-PAID-05</v>
      </c>
      <c r="J25" s="3" t="str">
        <v>3 файлов. Основное: evidence/originals/second-session-final.json
Полный список: лист Источники</v>
      </c>
      <c r="K25" s="3" t="str">
        <v>sources/TZ.md</v>
      </c>
      <c r="L25" s="3" t="str">
        <v>Доказательство</v>
      </c>
    </row>
    <row r="26" ht="47.599998474121094" hidden="0" customHeight="1">
      <c r="A26" s="3" t="str">
        <v>CHAT-AUTH-01</v>
      </c>
      <c r="B26" s="3" t="str">
        <v>Login as user в двух независимых браузерах</v>
      </c>
      <c r="C26" s="3" t="str">
        <v>PASS</v>
      </c>
      <c r="D26" s="3" t="str">
        <v>Критерий: Подтверждённые клиент #189 и агент #12, независимые сессии
Доказано: IAB вошёл клиентом #189; Chrome после этого оставался Admin, затем вошёл Kristy #12. Верифицированы роли и общий диалог #57/#56. Windows native recovery этим не заявляется.</v>
      </c>
      <c r="E26" s="3" t="str"/>
      <c r="F26" s="3" t="str"/>
      <c r="G26" s="3" t="str">
        <v>Игорь / Codex по указанному следующему шагу</v>
      </c>
      <c r="H26" s="3" t="str">
        <v>Сохранить результат; повторить после изменения затронутой реализации.</v>
      </c>
      <c r="I26" s="3" t="str">
        <v>CHAT-AUTH-01</v>
      </c>
      <c r="J26" s="3" t="str">
        <v>5 файлов. Основное: evidence/originals/login-client-189.json
Полный список: лист Источники</v>
      </c>
      <c r="K26" s="3" t="str">
        <v>sources/TZ.md</v>
      </c>
      <c r="L26" s="3" t="str">
        <v>Доказательство</v>
      </c>
    </row>
    <row r="27" ht="47.599998474121094" hidden="0" customHeight="1">
      <c r="A27" s="3" t="str">
        <v>CHAT-PAID-BUSY-01</v>
      </c>
      <c r="B27" s="3" t="str">
        <v>Запрос к занятому эксперту Talia</v>
      </c>
      <c r="C27" s="3" t="str">
        <v>PASS</v>
      </c>
      <c r="D27" s="3" t="str">
        <v>Критерий: 409 с понятной причиной, без нового старта и дебета
Доказано: В диалоге #57 endpoint paid-session-request вернул 409; показано Этот эксперт сейчас занят другой платной консультацией. Другую активную консультацию не завершали.</v>
      </c>
      <c r="E27" s="3" t="str"/>
      <c r="F27" s="3" t="str"/>
      <c r="G27" s="3" t="str">
        <v>Игорь / Codex по указанному следующему шагу</v>
      </c>
      <c r="H27" s="3" t="str">
        <v>Сохранить результат; повторить после изменения затронутой реализации.</v>
      </c>
      <c r="I27" s="3" t="str">
        <v>CHAT-PAID-BUSY-01</v>
      </c>
      <c r="J27" s="3" t="str">
        <v>1 файлов. Основное: evidence/protocol.json
Полный список: лист Источники</v>
      </c>
      <c r="K27" s="3" t="str">
        <v>sources/TZ.md</v>
      </c>
      <c r="L27" s="3" t="str">
        <v>Доказательство</v>
      </c>
    </row>
    <row r="28" ht="47.599998474121094" hidden="0" customHeight="1">
      <c r="A28" s="3" t="str">
        <v>CHAT-REPORT-01</v>
      </c>
      <c r="B28" s="3" t="str">
        <v>Открыть и отменить жалобу</v>
      </c>
      <c r="C28" s="3" t="str">
        <v>PASS</v>
      </c>
      <c r="D28" s="3" t="str">
        <v>Критерий: Шесть причин, описание, отмена сохраняет чат; support отдельно
Доказано: Открыта форма с six categories spam/profile/rude/fake/fraud/other; отмена сохранила #56. Жалоба не подавалась.</v>
      </c>
      <c r="E28" s="3" t="str"/>
      <c r="F28" s="3" t="str"/>
      <c r="G28" s="3" t="str">
        <v>Игорь / Codex по указанному следующему шагу</v>
      </c>
      <c r="H28" s="3" t="str">
        <v>Сохранить результат; повторить после изменения затронутой реализации.</v>
      </c>
      <c r="I28" s="3" t="str">
        <v>CHAT-REPORT-01</v>
      </c>
      <c r="J28" s="3" t="str">
        <v>2 файлов. Основное: evidence/originals/chat-report-modal.jpg
Полный список: лист Источники</v>
      </c>
      <c r="K28" s="3" t="str">
        <v>sources/TZ.md</v>
      </c>
      <c r="L28" s="3" t="str">
        <v>Доказательство</v>
      </c>
    </row>
    <row r="29" ht="74" hidden="0" customHeight="1">
      <c r="A29" s="3" t="str">
        <v>CHAT-RESP-01</v>
      </c>
      <c r="B29" s="3" t="str">
        <v>Проверить ширины чата и мобильный список/диалог</v>
      </c>
      <c r="C29" s="3" t="str">
        <v>PASS</v>
      </c>
      <c r="D29" s="3" t="str">
        <v>Критерий: На пяти CSS-ширинах нет горизонтального переполнения; mobile открывает выбранный peer
Доказано: 360/480/768/992/1280 CSS px при scale=1. Документ не выходит по горизонтали. При 360 сначала список, выбор Solara открывает диалог. Локальная обрезка редактора вынесена в CHAT-UI-02.</v>
      </c>
      <c r="E29" s="3" t="str"/>
      <c r="F29" s="3" t="str"/>
      <c r="G29" s="3" t="str">
        <v>Игорь / Codex по указанному следующему шагу</v>
      </c>
      <c r="H29" s="3" t="str">
        <v>Сохранить результат; повторить после изменения затронутой реализации.</v>
      </c>
      <c r="I29" s="3" t="str">
        <v>CHAT-RESP-01</v>
      </c>
      <c r="J29" s="3" t="str">
        <v>9 файлов. Основное: evidence/originals/responsive-metrics.json
Полный список: лист Источники</v>
      </c>
      <c r="K29" s="3" t="str">
        <v>sources/TZ.md</v>
      </c>
      <c r="L29" s="3" t="str">
        <v>Доказательство</v>
      </c>
    </row>
    <row r="30" ht="47.599998474121094" hidden="0" customHeight="1">
      <c r="A30" s="3" t="str">
        <v>CHAT-TRIAL-01</v>
      </c>
      <c r="B30" s="3" t="str">
        <v>Пробные минуты и переход к платной части</v>
      </c>
      <c r="C30" s="3" t="str">
        <v>NOT_RUN</v>
      </c>
      <c r="D30" s="3" t="str">
        <v>Критерий: Пробные минуты расходуются из lifetime-остатка один раз, затем применяется принятый тариф.
Доказано: Не выполнялось</v>
      </c>
      <c r="E30" s="3" t="str">
        <v>Пробные минуты расходуются из lifetime-остатка один раз, затем применяется принятый тариф.</v>
      </c>
      <c r="F30" s="3" t="str">
        <v>У клиента #189 сервер показывает No trial minutes remain. Не пополнялись trial и не менялись настройки/права.</v>
      </c>
      <c r="G30" s="3" t="str">
        <v>Игорь / Codex по указанному следующему шагу</v>
      </c>
      <c r="H30" s="3" t="str">
        <v>Игорь: подготовить существующий тестовый аккаунт с остатком trial; Codex: пройти две стороны.</v>
      </c>
      <c r="I30" s="3" t="str">
        <v>CHAT-TRIAL-01</v>
      </c>
      <c r="J30" s="3" t="str"/>
      <c r="K30" s="3" t="str">
        <v>sources/TZ.md</v>
      </c>
      <c r="L30" s="3" t="str">
        <v>Разбор Игоря</v>
      </c>
    </row>
    <row r="31" ht="34.400001525878906" hidden="0" customHeight="1">
      <c r="A31" s="3" t="str">
        <v>CHAT-LOW-BALANCE-01</v>
      </c>
      <c r="B31" s="3" t="str">
        <v>Недостаточный баланс и пополнение в sandbox</v>
      </c>
      <c r="C31" s="3" t="str">
        <v>NOT_RUN</v>
      </c>
      <c r="D31" s="3" t="str">
        <v>Критерий: Отказ до согласия/старта; пополнение не запускает чат автоматически.
Доказано: Не выполнялось</v>
      </c>
      <c r="E31" s="3" t="str">
        <v>Отказ до согласия/старта; пополнение не запускает чат автоматически.</v>
      </c>
      <c r="F31" s="3" t="str">
        <v>Клиент #189 имеет положительный баланс. Реальная покупка, обнуление кошелька и изменение прав ради fixture не выполнялись.</v>
      </c>
      <c r="G31" s="3" t="str">
        <v>Игорь / Codex по указанному следующему шагу</v>
      </c>
      <c r="H31" s="3" t="str">
        <v>Игорь: дать разрешённый low-balance fixture и явно видимый Stripe test; Codex: проверить отказ/возврат.</v>
      </c>
      <c r="I31" s="3" t="str">
        <v>CHAT-LOW-BALANCE-01</v>
      </c>
      <c r="J31" s="3" t="str"/>
      <c r="K31" s="3" t="str">
        <v>sources/TZ.md</v>
      </c>
      <c r="L31" s="3" t="str">
        <v>Разбор Игоря</v>
      </c>
    </row>
    <row r="32" ht="47.599998474121094" hidden="0" customHeight="1">
      <c r="A32" s="3" t="str">
        <v>CHAT-OFFER-EXPIRY-01</v>
      </c>
      <c r="B32" s="3" t="str">
        <v>Истечение/обновление предложения и сброс согласия</v>
      </c>
      <c r="C32" s="3" t="str">
        <v>NOT_RUN</v>
      </c>
      <c r="D32" s="3" t="str">
        <v>Критерий: Серверное истечение и новая цена требуют нового согласия, нет списания по старому согласию.
Доказано: Не выполнялось</v>
      </c>
      <c r="E32" s="3" t="str">
        <v>Серверное истечение и новая цена требуют нового согласия, нет списания по старому согласию.</v>
      </c>
      <c r="F32" s="3" t="str">
        <v>Не изменялись часы, тарифы, TTL или серверные события. Новая цена/истечение не воспроизведены.</v>
      </c>
      <c r="G32" s="3" t="str">
        <v>Игорь / Codex по указанному следующему шагу</v>
      </c>
      <c r="H32" s="3" t="str">
        <v>Игорь: дать управляемые short-TTL/changed-offer fixtures; Codex: проверить обе стороны.</v>
      </c>
      <c r="I32" s="3" t="str">
        <v>CHAT-OFFER-EXPIRY-01</v>
      </c>
      <c r="J32" s="3" t="str"/>
      <c r="K32" s="3" t="str">
        <v>sources/TZ.md</v>
      </c>
      <c r="L32" s="3" t="str">
        <v>Разбор Игоря</v>
      </c>
    </row>
    <row r="33" ht="34.400001525878906" hidden="0" customHeight="1">
      <c r="A33" s="3" t="str">
        <v>CHAT-RACE-01</v>
      </c>
      <c r="B33" s="3" t="str">
        <v>Конкурирующие старты/завершения и серверная идемпотентность</v>
      </c>
      <c r="C33" s="3" t="str">
        <v>NOT_RUN</v>
      </c>
      <c r="D33" s="3" t="str">
        <v>Критерий: Повтор с одинаковой операцией и конкурентные команды не создают второй дебет.
Доказано: Не выполнялось</v>
      </c>
      <c r="E33" s="3" t="str">
        <v>Повтор с одинаковой операцией и конкурентные команды не создают второй дебет.</v>
      </c>
      <c r="F33" s="3" t="str">
        <v>UI-retry одного сообщения проверен; гонки финансовых команд и server-side replay не выполнялись и этим не доказаны.</v>
      </c>
      <c r="G33" s="3" t="str">
        <v>Игорь / Codex по указанному следующему шагу</v>
      </c>
      <c r="H33" s="3" t="str">
        <v>Игорь: предоставить изолированный серверный сценарий по регламенту; Codex: сопоставить ledger.</v>
      </c>
      <c r="I33" s="3" t="str">
        <v>CHAT-RACE-01</v>
      </c>
      <c r="J33" s="3" t="str"/>
      <c r="K33" s="3" t="str">
        <v>sources/TZ.md</v>
      </c>
      <c r="L33" s="3" t="str">
        <v>Разбор Игоря</v>
      </c>
    </row>
    <row r="34" ht="47.599998474121094" hidden="0" customHeight="1">
      <c r="A34" s="3" t="str">
        <v>CHAT-ACL-01</v>
      </c>
      <c r="B34" s="3" t="str">
        <v>Запрет чужих вложений/сессий</v>
      </c>
      <c r="C34" s="3" t="str">
        <v>NOT_RUN</v>
      </c>
      <c r="D34" s="3" t="str">
        <v>Критерий: Клиент и агент видят только разрешённые документы, внутренние идентификаторы и консультации.
Доказано: Не выполнялось</v>
      </c>
      <c r="E34" s="3" t="str">
        <v>Клиент и агент видят только разрешённые документы, внутренние идентификаторы и консультации.</v>
      </c>
      <c r="F34" s="3" t="str">
        <v>Положительные роли и приватность support note проверены. Отрицательный контроль другим клиентом и прямой URL чужой тестовой записи не выполнен.</v>
      </c>
      <c r="G34" s="3" t="str">
        <v>Игорь / Codex по указанному следующему шагу</v>
      </c>
      <c r="H34" s="3" t="str">
        <v>Игорь: дать второй ограниченный аккаунт и его разрешённую контрольную запись; Codex: проверить 403/404.</v>
      </c>
      <c r="I34" s="3" t="str">
        <v>CHAT-ACL-01</v>
      </c>
      <c r="J34" s="3" t="str"/>
      <c r="K34" s="3" t="str">
        <v>sources/TZ.md</v>
      </c>
      <c r="L34" s="3" t="str">
        <v>Разбор Игоря</v>
      </c>
    </row>
    <row r="35" ht="47.599998474121094" hidden="0" customHeight="1">
      <c r="A35" s="3" t="str">
        <v>CHAT-DEVICE-01</v>
      </c>
      <c r="B35" s="3" t="str">
        <v>Физические iPhone и Android</v>
      </c>
      <c r="C35" s="3" t="str">
        <v>NOT_RUN</v>
      </c>
      <c r="D35" s="3" t="str">
        <v>Критерий: Touch, клавиатура, viewport и отправка проверены на реальных устройствах с получателем.
Доказано: Не выполнялось</v>
      </c>
      <c r="E35" s="3" t="str">
        <v>Touch, клавиатура, viewport и отправка проверены на реальных устройствах с получателем.</v>
      </c>
      <c r="F35" s="3" t="str">
        <v>Выполнены CSS viewport 360/480/768/992/1280 при scale=1; физические телефоны не подключены.</v>
      </c>
      <c r="G35" s="3" t="str">
        <v>Игорь / Codex по указанному следующему шагу</v>
      </c>
      <c r="H35" s="3" t="str">
        <v>Codex: выполнить на доступных реальных iPhone/Android; CSS-размеры не повышать до device PASS.</v>
      </c>
      <c r="I35" s="3" t="str">
        <v>CHAT-DEVICE-01</v>
      </c>
      <c r="J35" s="3" t="str"/>
      <c r="K35" s="3" t="str">
        <v>sources/TZ.md</v>
      </c>
      <c r="L35" s="3" t="str">
        <v>Разбор Игоря</v>
      </c>
    </row>
    <row r="36" ht="47.599998474121094" hidden="0" customHeight="1">
      <c r="A36" s="3" t="str">
        <v>CHAT-DELETE-FINAL-01</v>
      </c>
      <c r="B36" s="3" t="str">
        <v>Окончательное удаление и серверное сохранение</v>
      </c>
      <c r="C36" s="3" t="str">
        <v>NOT_RUN</v>
      </c>
      <c r="D36" s="3" t="str">
        <v>Критерий: Подтверждённое удаление специально выделенного disposable-диалога даёт ожидаемую историю обеим сторонам.
Доказано: Не выполнялось</v>
      </c>
      <c r="E36" s="3" t="str">
        <v>Подтверждённое удаление специально выделенного disposable-диалога даёт ожидаемую историю обеим сторонам.</v>
      </c>
      <c r="F36" s="3" t="str">
        <v>Проверены только подтверждение и отмена. Старая тестовая история #56/#57 не удалялась.</v>
      </c>
      <c r="G36" s="3" t="str">
        <v>Игорь / Codex по указанному следующему шагу</v>
      </c>
      <c r="H36" s="3" t="str">
        <v>Подготовить отдельный disposable-диалог и применимый допуск финального удаления; затем проверить readback.</v>
      </c>
      <c r="I36" s="3" t="str">
        <v>CHAT-DELETE-FINAL-01</v>
      </c>
      <c r="J36" s="3" t="str"/>
      <c r="K36" s="3" t="str">
        <v>sources/TZ.md</v>
      </c>
      <c r="L36" s="3" t="str">
        <v>Разбор Игоря</v>
      </c>
    </row>
    <row r="37" ht="47.599998474121094" hidden="0" customHeight="1">
      <c r="A37" s="3" t="str">
        <v>CHAT-POLICY-01</v>
      </c>
      <c r="B37" s="3" t="str">
        <v>Серверные отказы файлов и работа в долгом офлайне</v>
      </c>
      <c r="C37" s="3" t="str">
        <v>NOT_RUN</v>
      </c>
      <c r="D37" s="3" t="str">
        <v>Критерий: Сервер отклоняет обход клиентских лимитов; долгий reconnect не создаёт потерю/дубликат.
Доказано: Не выполнялось</v>
      </c>
      <c r="E37" s="3" t="str">
        <v>Сервер отклоняет обход клиентских лимитов; долгий reconnect не создаёт потерю/дубликат.</v>
      </c>
      <c r="F37" s="3" t="str">
        <v>Проверены видимые клиентские лимиты и один контролируемый offline/retry; HTTP bypass и длительные сетевые гонки не выполнялись.</v>
      </c>
      <c r="G37" s="3" t="str">
        <v>Игорь / Codex по указанному следующему шагу</v>
      </c>
      <c r="H37" s="3" t="str">
        <v>Игорь: предоставить штатный изолированный server QA путь, без обхода защиты.</v>
      </c>
      <c r="I37" s="3" t="str">
        <v>CHAT-POLICY-01</v>
      </c>
      <c r="J37" s="3" t="str"/>
      <c r="K37" s="3" t="str">
        <v>sources/TZ.md</v>
      </c>
      <c r="L37" s="3" t="str">
        <v>Разбор Игоря</v>
      </c>
    </row>
    <row r="38" ht="87.19999694824219" hidden="0" customHeight="1">
      <c r="A38" s="3" t="str">
        <v>CHAT-RATING-01</v>
      </c>
      <c r="B38" s="3" t="str">
        <v>Рейтинг только в профиле эксперта</v>
      </c>
      <c r="C38" s="3" t="str">
        <v>FAIL</v>
      </c>
      <c r="D38" s="3" t="str">
        <v>Критерий: Рейтинг (звёзды, средняя оценка, число голосов/отзывов) только в профиле эксперта; во всём чате, включая список и шапку, отсутствует. Избранное и действие оценки завершённого сеанса сохраняются; пустого отступа нет.
Доказано: На предоставленном Алексеем снимке /ru/messages?contactId=103 рейтинг Solara Ortiz виден в списке и шапке. Область исправления уточнена владельцем: убрать из всего чата. Новый live-readback не выполнен; время съёмки неизвестно.</v>
      </c>
      <c r="E38" s="3" t="str"/>
      <c r="F38" s="3" t="str"/>
      <c r="G38" s="3" t="str">
        <v>Игорь — внедрение; Codex — повторная приёмка</v>
      </c>
      <c r="H38" s="3" t="str">
        <v>Игорь: убрать рейтинг из чата; Codex: проверить список/шапку, фильтры, поиск, обновления, переход в профиль, избранное и узкую вёрстку.</v>
      </c>
      <c r="I38" s="3" t="str">
        <v>CHAT-RATING-01</v>
      </c>
      <c r="J38" s="3" t="str">
        <v>1 файлов. Основное: evidence/originals/owner-rating-chat.png
Полный список: лист Источники</v>
      </c>
      <c r="K38" s="3" t="str">
        <v>sources/OWNER-DECISIONS-20261028.md</v>
      </c>
      <c r="L38" s="3" t="str">
        <v>Доказательство</v>
      </c>
    </row>
    <row r="39" ht="47.599998474121094" hidden="0" customHeight="1">
      <c r="A39" s="3" t="str">
        <v>CHAT-PRESENCE-01</v>
      </c>
      <c r="B39" s="3" t="str">
        <v>Три состояния индикатора эксперта</v>
      </c>
      <c r="C39" s="3" t="str">
        <v>NOT_RUN</v>
      </c>
      <c r="D39" s="3" t="str">
        <v>Критерий: Единый актуальный статус в списке и шапке: зелёный В сети / Online, жёлтый Занят / Busy, серый Не в сети / Offline. Существующие стили, текстовая расшифровка и доступное имя сохранены.
Доказано: Не выполнялось</v>
      </c>
      <c r="E39" s="3" t="str">
        <v>Единый актуальный статус в списке и шапке: зелёный В сети / Online, жёлтый Занят / Busy, серый Не в сети / Offline. Существующие стили, текстовая расшифровка и доступное имя сохранены.</v>
      </c>
      <c r="F39" s="3" t="str">
        <v>Решение владельца включено в R2; три состояния и переходы после внедрения не проверялись. Двоичная точка не доказывает трёхцветную реализацию.</v>
      </c>
      <c r="G39" s="3" t="str">
        <v>Игорь — внедрение; Codex — повторная приёмка</v>
      </c>
      <c r="H39" s="3" t="str">
        <v>Игорь: внедрить единый трёхцветный статус; Codex: проверить состояния/переходы, RU/EN и синхронность списка с шапкой.</v>
      </c>
      <c r="I39" s="3" t="str">
        <v>CHAT-PRESENCE-01</v>
      </c>
      <c r="J39" s="3" t="str"/>
      <c r="K39" s="3" t="str">
        <v>sources/OWNER-DECISIONS-20261028.md</v>
      </c>
      <c r="L39" s="3" t="str">
        <v>Разбор Игоря</v>
      </c>
    </row>
    <row r="40" ht="60.79999923706055" hidden="0" customHeight="1">
      <c r="A40" s="3" t="str">
        <v>CHAT-PAID-AVAIL-01</v>
      </c>
      <c r="B40" s="3" t="str">
        <v>Запрет новой платной консультации при занятости/оффлайне</v>
      </c>
      <c r="C40" s="3" t="str">
        <v>NOT_RUN</v>
      </c>
      <c r="D40" s="3" t="str">
        <v>Критерий: При занятости/оффлайне кнопки нового запроса/начала нет, в том числе в Tab-порядке. Сервер проверяет доступность до начала/первого списания: при устаревшем статусе нет нового сеанса/дебета. Статус и кнопка обновляются вместе; управление текущим сеансом сохраняется.
Доказано: Не выполнялось</v>
      </c>
      <c r="E40" s="3" t="str">
        <v>При занятости/оффлайне кнопки нового запроса/начала нет, в том числе в Tab-порядке. Сервер проверяет доступность до начала/первого списания: при устаревшем статусе нет нового сеанса/дебета. Статус и кнопка обновляются вместе; управление текущим сеансом сохраняется.</v>
      </c>
      <c r="F40" s="3" t="str">
        <v>Скрытие кнопки, оффлайн и гонка статуса по новому правилу владельца не проверялись. Прежний CHAT-PAID-BUSY-01 PASS подтверждает только наблюдавшийся 409 без нового старта/дебета.</v>
      </c>
      <c r="G40" s="3" t="str">
        <v>Игорь — внедрение; Codex — повторная приёмка</v>
      </c>
      <c r="H40" s="3" t="str">
        <v>Игорь: внедрить UI- и серверное ограничение; Codex: проверить busy/offline, смену статуса до подтверждения, два клиента, отсутствие списания и сохранение управления текущим сеансом.</v>
      </c>
      <c r="I40" s="3" t="str">
        <v>CHAT-PAID-AVAIL-01</v>
      </c>
      <c r="J40" s="3" t="str"/>
      <c r="K40" s="3" t="str">
        <v>sources/OWNER-DECISIONS-20261028.md</v>
      </c>
      <c r="L40" s="3" t="str">
        <v>Разбор Игоря</v>
      </c>
    </row>
  </sheetData>
  <hyperlinks>
    <hyperlink ref="L2" r:id="qaAuditLink1"/>
    <hyperlink ref="L3" r:id="qaAuditLink2"/>
    <hyperlink ref="L4" r:id="qaAuditLink3"/>
    <hyperlink ref="L5" r:id="qaAuditLink4"/>
    <hyperlink ref="L6" r:id="qaAuditLink5"/>
    <hyperlink ref="L7" r:id="qaAuditLink6"/>
    <hyperlink ref="L8" r:id="qaAuditLink7"/>
    <hyperlink ref="L9" r:id="qaAuditLink8"/>
    <hyperlink ref="L10" r:id="qaAuditLink9"/>
    <hyperlink ref="L11" r:id="qaAuditLink10"/>
    <hyperlink ref="L12" r:id="qaAuditLink11"/>
    <hyperlink ref="L13" r:id="qaAuditLink12"/>
    <hyperlink ref="L14" r:id="qaAuditLink13"/>
    <hyperlink ref="L15" r:id="qaAuditLink14"/>
    <hyperlink ref="L16" r:id="qaAuditLink15"/>
    <hyperlink ref="L17" r:id="qaAuditLink16"/>
    <hyperlink ref="L18" r:id="qaAuditLink17"/>
    <hyperlink ref="L19" r:id="qaAuditLink18"/>
    <hyperlink ref="L20" r:id="qaAuditLink19"/>
    <hyperlink ref="L21" r:id="qaAuditLink20"/>
    <hyperlink ref="L22" r:id="qaAuditLink21"/>
    <hyperlink ref="L23" r:id="qaAuditLink22"/>
    <hyperlink ref="L24" r:id="qaAuditLink23"/>
    <hyperlink ref="L25" r:id="qaAuditLink24"/>
    <hyperlink ref="L26" r:id="qaAuditLink25"/>
    <hyperlink ref="L27" r:id="qaAuditLink26"/>
    <hyperlink ref="L28" r:id="qaAuditLink27"/>
    <hyperlink ref="L29" r:id="qaAuditLink28"/>
    <hyperlink ref="L30" r:id="qaAuditLink29"/>
    <hyperlink ref="L31" r:id="qaAuditLink30"/>
    <hyperlink ref="L32" r:id="qaAuditLink31"/>
    <hyperlink ref="L33" r:id="qaAuditLink32"/>
    <hyperlink ref="L34" r:id="qaAuditLink33"/>
    <hyperlink ref="L35" r:id="qaAuditLink34"/>
    <hyperlink ref="L36" r:id="qaAuditLink35"/>
    <hyperlink ref="L37" r:id="qaAuditLink36"/>
    <hyperlink ref="L38" r:id="qaAuditLink37"/>
    <hyperlink ref="L39" r:id="qaAuditLink38"/>
    <hyperlink ref="L40" r:id="qaAuditLink39"/>
  </hyperlinks>
  <pageMargins left="0.7" right="0.7" top="0.75" bottom="0.75" header="0.3" footer="0.3"/>
  <tableParts count="1">
    <tablePart r:id="Rf87fa293ea7e489d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4" hidden="0" customWidth="1"/>
    <col min="2" max="2" width="42" hidden="0" customWidth="1"/>
    <col min="3" max="3" width="75" hidden="0" customWidth="1"/>
    <col min="4" max="4" width="28" hidden="0" customWidth="1"/>
    <col min="5" max="5" width="18" hidden="0" customWidth="1"/>
    <col min="6" max="6" width="100" hidden="0" customWidth="1"/>
    <col min="7" max="7" width="68" hidden="0" customWidth="1"/>
    <col min="8" max="8" width="28" hidden="0" customWidth="1"/>
    <col min="9" max="9" width="60" hidden="0" customWidth="1"/>
    <col min="10" max="10" width="24" hidden="0" customWidth="1"/>
    <col min="11" max="11" width="64" hidden="0" customWidth="1"/>
    <col min="12" max="12" width="72" hidden="0" customWidth="1"/>
    <col min="13" max="13" width="78" hidden="0" customWidth="1"/>
    <col min="14" max="14" width="26" hidden="0" customWidth="1"/>
  </cols>
  <sheetData>
    <row r="1" ht="23" hidden="0" customHeight="1">
      <c r="A1" s="6" t="str">
        <v>ID</v>
      </c>
      <c r="B1" s="6" t="str">
        <v>Сценарий</v>
      </c>
      <c r="C1" s="6" t="str">
        <v>Ожидание</v>
      </c>
      <c r="D1" s="6" t="str">
        <v>Роли</v>
      </c>
      <c r="E1" s="6" t="str">
        <v>Результат</v>
      </c>
      <c r="F1" s="6" t="str">
        <v>Факт исходного прохода / причина</v>
      </c>
      <c r="G1" s="6" t="str">
        <v>Шаги</v>
      </c>
      <c r="H1" s="6" t="str">
        <v>Дата проверки UTC</v>
      </c>
      <c r="I1" s="6" t="str">
        <v>URL</v>
      </c>
      <c r="J1" s="6" t="str">
        <v>Прежний статус16.10</v>
      </c>
      <c r="K1" s="6" t="str">
        <v>Доказательства</v>
      </c>
      <c r="L1" s="6" t="str">
        <v>Источник</v>
      </c>
      <c r="M1" s="6" t="str">
        <v>Граница / следующий шаг</v>
      </c>
      <c r="N1" s="6" t="str">
        <v>Открыть</v>
      </c>
    </row>
    <row r="2" ht="34.400001525878906" hidden="0" customHeight="1">
      <c r="A2" s="3" t="str">
        <v>CHAT-TERMS-01</v>
      </c>
      <c r="B2" s="3" t="str">
        <v>Открыть условия до запроса</v>
      </c>
      <c r="C2" s="3" t="str">
        <v>Бесплатный первичный запрос; отдельное согласие на предложение, RU-текст</v>
      </c>
      <c r="D2" s="3" t="str">
        <v>Клиент #189</v>
      </c>
      <c r="E2" s="3" t="str">
        <v>FAIL</v>
      </c>
      <c r="F2" s="3" t="str">
        <v>Панель: A client request is consent..., required balance to request or accept 30 credits; основной запрос не обозначен бесплатным. Копия панели и компактная панель показаны одновременно.</v>
      </c>
      <c r="G2" s="3" t="str">
        <v>Открыть условия до запроса</v>
      </c>
      <c r="H2" s="8" t="d">
        <v>2026-10-28T14:30:51.440Z</v>
      </c>
      <c r="I2" s="3" t="str">
        <v>https://confideline.com/ru/messages</v>
      </c>
      <c r="J2" s="3" t="str">
        <v>Не выполнялся</v>
      </c>
      <c r="K2" s="3" t="str">
        <v>2 файлов. Основное: evidence/originals/client-terms-before.jpg
Полный список: лист Источники</v>
      </c>
      <c r="L2" s="3" t="str">
        <v>sources/TZ.md</v>
      </c>
      <c r="M2" s="3" t="str">
        <v>Результат ограничен указанными шагами и текущей сборкой; server commit не предоставлен.</v>
      </c>
      <c r="N2" s="3" t="str">
        <v>Доказательство</v>
      </c>
    </row>
    <row r="3" ht="34.400001525878906" hidden="0" customHeight="1">
      <c r="A3" s="3" t="str">
        <v>CHAT-TERMS-02</v>
      </c>
      <c r="B3" s="3" t="str">
        <v>Открыть условия → Escape</v>
      </c>
      <c r="C3" s="3" t="str">
        <v>Панель закрыта, focus вернулся к кнопке тарифа</v>
      </c>
      <c r="D3" s="3" t="str">
        <v>Клиент #189</v>
      </c>
      <c r="E3" s="3" t="str">
        <v>PASS</v>
      </c>
      <c r="F3" s="3" t="str">
        <v>Escape закрывает панель, document.activeElement aria-label=Consultation details.</v>
      </c>
      <c r="G3" s="3" t="str">
        <v>Открыть условия → Escape</v>
      </c>
      <c r="H3" s="8" t="d">
        <v>2026-10-28T15:08:09.947Z</v>
      </c>
      <c r="I3" s="3" t="str">
        <v>https://confideline.com/ru/messages</v>
      </c>
      <c r="J3" s="3" t="str">
        <v>Не выполнялся</v>
      </c>
      <c r="K3" s="3" t="str">
        <v>2 файлов. Основное: evidence/originals/chat-terms-360.png
Полный список: лист Источники</v>
      </c>
      <c r="L3" s="3" t="str">
        <v>sources/TZ.md</v>
      </c>
      <c r="M3" s="3" t="str">
        <v>Результат ограничен указанными шагами и текущей сборкой; server commit не предоставлен.</v>
      </c>
      <c r="N3" s="3" t="str">
        <v>Доказательство</v>
      </c>
    </row>
    <row r="4" ht="34.400001525878906" hidden="0" customHeight="1">
      <c r="A4" s="3" t="str">
        <v>CHAT-LIST-01</v>
      </c>
      <c r="B4" s="3" t="str">
        <v>Search contact: Solara, затем QA-NO-MATCH-20261028</v>
      </c>
      <c r="C4" s="3" t="str">
        <v>Совпадение и явное пустое состояние</v>
      </c>
      <c r="D4" s="3" t="str">
        <v>Клиент #189</v>
      </c>
      <c r="E4" s="3" t="str">
        <v>PASS</v>
      </c>
      <c r="F4" s="3" t="str">
        <v>Solara ограничивает список разрешённым peer; отсутствующий маркер показывает No conversations found и Обзор людей. Очистка возвращает список.</v>
      </c>
      <c r="G4" s="3" t="str">
        <v>Search contact: Solara, затем QA-NO-MATCH-20261028</v>
      </c>
      <c r="H4" s="8" t="d">
        <v>2026-10-28T15:03:10.732Z</v>
      </c>
      <c r="I4" s="3" t="str">
        <v>https://confideline.com/ru/messages</v>
      </c>
      <c r="J4" s="3" t="str">
        <v>Не выполнялся</v>
      </c>
      <c r="K4" s="3" t="str">
        <v>1 файлов. Основное: evidence/protocol.json
Полный список: лист Источники</v>
      </c>
      <c r="L4" s="3" t="str">
        <v>sources/TZ.md</v>
      </c>
      <c r="M4" s="3" t="str">
        <v>Результат ограничен указанными шагами и текущей сборкой; server commit не предоставлен.</v>
      </c>
      <c r="N4" s="3" t="str">
        <v>Доказательство</v>
      </c>
    </row>
    <row r="5" ht="34.400001525878906" hidden="0" customHeight="1">
      <c r="A5" s="3" t="str">
        <v>CHAT-MSG-01</v>
      </c>
      <c r="B5" s="3" t="str">
        <v>Однократная отправка C1, независимый readback у оператора и reload клиента</v>
      </c>
      <c r="C5" s="3" t="str">
        <v>Одна доставленная запись; Unicode и перенос строки сохранены</v>
      </c>
      <c r="D5" s="3" t="str">
        <v>Клиент #189 + оператор #12</v>
      </c>
      <c r="E5" s="3" t="str">
        <v>PASS</v>
      </c>
      <c r="F5" s="3" t="str">
        <v>В диалоге #57 обе стороны видят C1 с 🙂 😀 Ж € ✓ и второй строкой; после reload запись сохранена. Баланс до старта 8546.00.</v>
      </c>
      <c r="G5" s="3" t="str">
        <v>Однократная отправка C1, независимый readback у оператора и reload клиента</v>
      </c>
      <c r="H5" s="8" t="d">
        <v>2026-10-28T14:30:32.691Z</v>
      </c>
      <c r="I5" s="3" t="str">
        <v>https://confideline.com/ru/messages</v>
      </c>
      <c r="J5" s="3" t="str">
        <v>Не выполнялся</v>
      </c>
      <c r="K5" s="3" t="str">
        <v>2 файлов. Основное: evidence/originals/client-message-delivery.jpg
Полный список: лист Источники</v>
      </c>
      <c r="L5" s="3" t="str">
        <v>sources/TZ.md</v>
      </c>
      <c r="M5" s="3" t="str">
        <v>Результат ограничен указанными шагами и текущей сборкой; server commit не предоставлен.</v>
      </c>
      <c r="N5" s="3" t="str">
        <v>Доказательство</v>
      </c>
    </row>
    <row r="6" ht="34.400001525878906" hidden="0" customHeight="1">
      <c r="A6" s="3" t="str">
        <v>CHAT-MSG-02</v>
      </c>
      <c r="B6" s="3" t="str">
        <v>Ответ оператора A1 с обычной защитой отправки</v>
      </c>
      <c r="C6" s="3" t="str">
        <v>Ответ доставлен клиенту без искажения</v>
      </c>
      <c r="D6" s="3" t="str">
        <v>Клиент #189 + оператор #12</v>
      </c>
      <c r="E6" s="3" t="str">
        <v>PASS</v>
      </c>
      <c r="F6" s="3" t="str">
        <v>После штатной 5-секундной разблокировки и одной отправки клиент получил A1 со всеми Unicode символами.</v>
      </c>
      <c r="G6" s="3" t="str">
        <v>Ответ оператора A1 с обычной защитой отправки</v>
      </c>
      <c r="H6" s="8" t="d">
        <v>2026-10-28T14:31:20.814Z</v>
      </c>
      <c r="I6" s="3" t="str">
        <v>https://confideline.com/ru/messages</v>
      </c>
      <c r="J6" s="3" t="str">
        <v>Не выполнялся</v>
      </c>
      <c r="K6" s="3" t="str">
        <v>1 файлов. Основное: evidence/protocol.json
Полный список: лист Источники</v>
      </c>
      <c r="L6" s="3" t="str">
        <v>sources/TZ.md</v>
      </c>
      <c r="M6" s="3" t="str">
        <v>Результат ограничен указанными шагами и текущей сборкой; server commit не предоставлен.</v>
      </c>
      <c r="N6" s="3" t="str">
        <v>Доказательство</v>
      </c>
    </row>
    <row r="7" ht="34.400001525878906" hidden="0" customHeight="1">
      <c r="A7" s="3" t="str">
        <v>CHAT-PAID-01</v>
      </c>
      <c r="B7" s="3" t="str">
        <v>Клиент нажимает первичный Request paid consultation в диалоге #56</v>
      </c>
      <c r="C7" s="3" t="str">
        <v>Только бесплатный запрос; ожидание предложения с отдельным принятием условий</v>
      </c>
      <c r="D7" s="3" t="str">
        <v>Клиент #189 + оператор #12</v>
      </c>
      <c r="E7" s="3" t="str">
        <v>FAIL</v>
      </c>
      <c r="F7" s="3" t="str">
        <v>Без предложения и checkbox сервер создал session #26, оператор видит Готов к подключению и Start client-requested consultation. Баланс 8546.00 не изменился.</v>
      </c>
      <c r="G7" s="3" t="str">
        <v>Клиент нажимает первичный Request paid consultation в диалоге #56</v>
      </c>
      <c r="H7" s="8" t="d">
        <v>2026-10-28T14:33:15.892Z</v>
      </c>
      <c r="I7" s="3" t="str">
        <v>https://confideline.com/ru/messages</v>
      </c>
      <c r="J7" s="3" t="str">
        <v>Не выполнялся</v>
      </c>
      <c r="K7" s="3" t="str">
        <v>3 файлов. Основное: evidence/originals/client-request-ready.jpg
Полный список: лист Источники</v>
      </c>
      <c r="L7" s="3" t="str">
        <v>sources/TZ.md</v>
      </c>
      <c r="M7" s="3" t="str">
        <v>Результат ограничен указанными шагами и текущей сборкой; server commit не предоставлен.</v>
      </c>
      <c r="N7" s="3" t="str">
        <v>Доказательство</v>
      </c>
    </row>
    <row r="8" ht="34.400001525878906" hidden="0" customHeight="1">
      <c r="A8" s="3" t="str">
        <v>CHAT-PAID-02</v>
      </c>
      <c r="B8" s="3" t="str">
        <v>Оператор подключает session #26, затем ставит на паузу</v>
      </c>
      <c r="C8" s="3" t="str">
        <v>Запрос бесплатен; списание только после старта; пауза останавливает биллинг</v>
      </c>
      <c r="D8" s="3" t="str">
        <v>Клиент #189 + оператор #12</v>
      </c>
      <c r="E8" s="3" t="str">
        <v>PASS</v>
      </c>
      <c r="F8" s="3" t="str">
        <v>До старта 8546.00, после активного старта 8536.00: первая минута 10 кредитов. Обе стороны показывают активна, затем пауза.</v>
      </c>
      <c r="G8" s="3" t="str">
        <v>Оператор подключает session #26, затем ставит на паузу</v>
      </c>
      <c r="H8" s="8" t="d">
        <v>2026-10-28T14:34:10.037Z</v>
      </c>
      <c r="I8" s="3" t="str">
        <v>https://confideline.com/ru/messages</v>
      </c>
      <c r="J8" s="3" t="str">
        <v>Не выполнялся</v>
      </c>
      <c r="K8" s="3" t="str">
        <v>3 файлов. Основное: evidence/originals/client-session-active.jpg
Полный список: лист Источники</v>
      </c>
      <c r="L8" s="3" t="str">
        <v>sources/TZ.md</v>
      </c>
      <c r="M8" s="3" t="str">
        <v>Результат ограничен указанными шагами и текущей сборкой; server commit не предоставлен.</v>
      </c>
      <c r="N8" s="3" t="str">
        <v>Доказательство</v>
      </c>
    </row>
    <row r="9" ht="34.400001525878906" hidden="0" customHeight="1">
      <c r="A9" s="3" t="str">
        <v>CHAT-DRAFT-01</v>
      </c>
      <c r="B9" s="3" t="str">
        <v>Ввести черновик в #56; Help в отдельной вкладке; reload чата</v>
      </c>
      <c r="C9" s="3" t="str">
        <v>Черновик и выбранный peer сохранены</v>
      </c>
      <c r="D9" s="3" t="str">
        <v>Клиент #189</v>
      </c>
      <c r="E9" s="3" t="str">
        <v>PASS</v>
      </c>
      <c r="F9" s="3" t="str">
        <v>После Help и reload выбран Solara/#56, текст QA-DRAFT восстановлен, баланс обновлён до 8536.00.</v>
      </c>
      <c r="G9" s="3" t="str">
        <v>Ввести черновик в #56; Help в отдельной вкладке; reload чата</v>
      </c>
      <c r="H9" s="8" t="d">
        <v>2026-10-28T14:39:08.484Z</v>
      </c>
      <c r="I9" s="3" t="str">
        <v>https://confideline.com/ru/messages</v>
      </c>
      <c r="J9" s="3" t="str">
        <v>Не выполнялся</v>
      </c>
      <c r="K9" s="3" t="str">
        <v>1 файлов. Основное: evidence/protocol.json
Полный список: лист Источники</v>
      </c>
      <c r="L9" s="3" t="str">
        <v>sources/TZ.md</v>
      </c>
      <c r="M9" s="3" t="str">
        <v>Результат ограничен указанными шагами и текущей сборкой; server commit не предоставлен.</v>
      </c>
      <c r="N9" s="3" t="str">
        <v>Доказательство</v>
      </c>
    </row>
    <row r="10" ht="47.599998474121094" hidden="0" customHeight="1">
      <c r="A10" s="3" t="str">
        <v>CHAT-FAVORITE-01</v>
      </c>
      <c r="B10" s="3" t="str">
        <v>Изолированно Добавить в избранное → дождаться результата без переключения фильтра</v>
      </c>
      <c r="C10" s="3" t="str">
        <v>При Premium-ограничении показано пояснение, нет ложного добавления</v>
      </c>
      <c r="D10" s="3" t="str">
        <v>Клиент #189</v>
      </c>
      <c r="E10" s="3" t="str">
        <v>PASS</v>
      </c>
      <c r="F10" s="3" t="str">
        <v>Показано модальное окно Получить Premium с Only Premium can mark profiles as favorites... и OK. Ограничение объяснено, профиль не добавлен. Ранний FAIL после быстрого переключения фильтра отозван. Английский текст учтён отдельно в CHAT-RU-01.</v>
      </c>
      <c r="G10" s="3" t="str">
        <v>Изолированно Добавить в избранное → дождаться результата без переключения фильтра</v>
      </c>
      <c r="H10" s="8" t="d">
        <v>2026-10-28T15:26:23.801Z</v>
      </c>
      <c r="I10" s="3" t="str">
        <v>https://confideline.com/ru/messages</v>
      </c>
      <c r="J10" s="3" t="str">
        <v>Не выполнялся</v>
      </c>
      <c r="K10" s="3" t="str">
        <v>2 файлов. Основное: evidence/originals/favorite-isolated-final.jpg
Полный список: лист Источники</v>
      </c>
      <c r="L10" s="3" t="str">
        <v>sources/TZ.md</v>
      </c>
      <c r="M10" s="3" t="str">
        <v>Результат ограничен указанными шагами и текущей сборкой; server commit не предоставлен.</v>
      </c>
      <c r="N10" s="3" t="str">
        <v>Доказательство</v>
      </c>
    </row>
    <row r="11" ht="34.400001525878906" hidden="0" customHeight="1">
      <c r="A11" s="3" t="str">
        <v>CHAT-PAID-03</v>
      </c>
      <c r="B11" s="3" t="str">
        <v>Пауза &gt;3 минут, resume, завершить, открыть billing inspector</v>
      </c>
      <c r="C11" s="3" t="str">
        <v>Пауза не оплачивается; конечный дебет согласуется с первой минутой, баланс и ledger</v>
      </c>
      <c r="D11" s="3" t="str">
        <v>Оператор #12 + клиент #189</v>
      </c>
      <c r="E11" s="3" t="str">
        <v>PASS</v>
      </c>
      <c r="F11" s="3" t="str">
        <v>Session #26/ss-51ee2f0f849888322a3acec6 завершена, сервер 27 активных секунд, 60 оплаченных секунд, wallet #266 -10.00; 8546→8536, новых дебетов при паузе и завершении нет.</v>
      </c>
      <c r="G11" s="3" t="str">
        <v>Пауза &gt;3 минут, resume, завершить, открыть billing inspector</v>
      </c>
      <c r="H11" s="8" t="d">
        <v>2026-10-28T14:41:05.396Z</v>
      </c>
      <c r="I11" s="3" t="str">
        <v>https://confideline.com/ru/admin/chat/v2?conversationId=56&amp;leadType=chats</v>
      </c>
      <c r="J11" s="3" t="str">
        <v>Не выполнялся</v>
      </c>
      <c r="K11" s="3" t="str">
        <v>2 файлов. Основное: evidence/originals/operator-billing-ledger-266.jpg
Полный список: лист Источники</v>
      </c>
      <c r="L11" s="3" t="str">
        <v>sources/TZ.md</v>
      </c>
      <c r="M11" s="3" t="str">
        <v>Результат ограничен указанными шагами и текущей сборкой; server commit не предоставлен.</v>
      </c>
      <c r="N11" s="3" t="str">
        <v>Доказательство</v>
      </c>
    </row>
    <row r="12" ht="34.400001525878906" hidden="0" customHeight="1">
      <c r="A12" s="3" t="str">
        <v>CHAT-FILE-01</v>
      </c>
      <c r="B12" s="3" t="str">
        <v>Выбрать TXT и отправить с подписью</v>
      </c>
      <c r="C12" s="3" t="str">
        <v>Разрешённый файл с Unicode подписью доставлен обеим сторонам</v>
      </c>
      <c r="D12" s="3" t="str">
        <v>Клиент #189 + оператор #12</v>
      </c>
      <c r="E12" s="3" t="str">
        <v>PASS</v>
      </c>
      <c r="F12" s="3" t="str">
        <v>qa-chat-small.txt 76 B с FILE-подписью получен оператором в #56. EXE отклонён видимым сообщением о правилах выбора, вложение не создано.</v>
      </c>
      <c r="G12" s="3" t="str">
        <v>Выбрать TXT и отправить с подписью</v>
      </c>
      <c r="H12" s="8" t="d">
        <v>2026-10-28T14:42:26.712Z</v>
      </c>
      <c r="I12" s="3" t="str">
        <v>https://confideline.com/ru/messages</v>
      </c>
      <c r="J12" s="3" t="str">
        <v>Не выполнялся</v>
      </c>
      <c r="K12" s="3" t="str">
        <v>1 файлов. Основное: evidence/protocol.json
Полный список: лист Источники</v>
      </c>
      <c r="L12" s="3" t="str">
        <v>sources/TZ.md</v>
      </c>
      <c r="M12" s="3" t="str">
        <v>Результат ограничен указанными шагами и текущей сборкой; server commit не предоставлен.</v>
      </c>
      <c r="N12" s="3" t="str">
        <v>Доказательство</v>
      </c>
    </row>
    <row r="13" ht="47.599998474121094" hidden="0" customHeight="1">
      <c r="A13" s="3" t="str">
        <v>CHAT-COMPOSER-02</v>
      </c>
      <c r="B13" s="3" t="str">
        <v>В свободном редакторе ввести EMOJI-префикс → Emoji → 😀 → отдельный readback</v>
      </c>
      <c r="C13" s="3" t="str">
        <v>К тексту добавляется выбранный emoji</v>
      </c>
      <c r="D13" s="3" t="str">
        <v>Клиент #189</v>
      </c>
      <c r="E13" s="3" t="str">
        <v>FAIL</v>
      </c>
      <c r="F13" s="3" t="str">
        <v>Палитра закрывается, но поле остаётся ровно QA-CHAT-20261028-R1-EMOJI: без 😀. Проверено изолированно, незавершённых Send нет. Раннее предположение о неработающей цитате отозвано: CHAT-QUOTE-01 подтверждает её работу.</v>
      </c>
      <c r="G13" s="3" t="str">
        <v>В свободном редакторе ввести EMOJI-префикс → Emoji → 😀 → отдельный readback</v>
      </c>
      <c r="H13" s="8" t="d">
        <v>2026-10-28T15:02:42.827Z</v>
      </c>
      <c r="I13" s="3" t="str">
        <v>https://confideline.com/ru/messages</v>
      </c>
      <c r="J13" s="3" t="str">
        <v>Не выполнялся</v>
      </c>
      <c r="K13" s="3" t="str">
        <v>2 файлов. Основное: evidence/originals/chat-emoji-isolated.jpg
Полный список: лист Источники</v>
      </c>
      <c r="L13" s="3" t="str">
        <v>sources/TZ.md</v>
      </c>
      <c r="M13" s="3" t="str">
        <v>Результат ограничен указанными шагами и текущей сборкой; server commit не предоставлен.</v>
      </c>
      <c r="N13" s="3" t="str">
        <v>Доказательство</v>
      </c>
    </row>
    <row r="14" ht="34.400001525878906" hidden="0" customHeight="1">
      <c r="A14" s="3" t="str">
        <v>CHAT-PAID-04</v>
      </c>
      <c r="B14" s="3" t="str">
        <v>Оператор Offer; клиент Принять предложение</v>
      </c>
      <c r="C14" s="3" t="str">
        <v>Рассмотреть открывает условия; требуется отдельный checkbox и явное принятие</v>
      </c>
      <c r="D14" s="3" t="str">
        <v>Клиент #189 + оператор #12</v>
      </c>
      <c r="E14" s="3" t="str">
        <v>FAIL</v>
      </c>
      <c r="F14" s="3" t="str">
        <v>Принять предложение сразу переводит session в Готов к подключению, checkbox отсутствует; промежуточного просмотра существенных условий нет. Списание не началось, 8536.00.</v>
      </c>
      <c r="G14" s="3" t="str">
        <v>Оператор Offer; клиент Принять предложение</v>
      </c>
      <c r="H14" s="8" t="d">
        <v>2026-10-28T14:45:19.486Z</v>
      </c>
      <c r="I14" s="3" t="str">
        <v>https://confideline.com/ru/messages</v>
      </c>
      <c r="J14" s="3" t="str">
        <v>Не выполнялся</v>
      </c>
      <c r="K14" s="3" t="str">
        <v>2 файлов. Основное: evidence/originals/client-offer-direct-accept.jpg
Полный список: лист Источники</v>
      </c>
      <c r="L14" s="3" t="str">
        <v>sources/TZ.md</v>
      </c>
      <c r="M14" s="3" t="str">
        <v>Результат ограничен указанными шагами и текущей сборкой; server commit не предоставлен.</v>
      </c>
      <c r="N14" s="3" t="str">
        <v>Доказательство</v>
      </c>
    </row>
    <row r="15" ht="34.400001525878906" hidden="0" customHeight="1">
      <c r="A15" s="3" t="str">
        <v>CHAT-LIMIT-01</v>
      </c>
      <c r="B15" s="3" t="str">
        <v>990 символов + обычный клавиатурный ввод сверх лимита; отправить один раз</v>
      </c>
      <c r="C15" s="3" t="str">
        <v>Ровно 1000 символов; независимая доставка 1000</v>
      </c>
      <c r="D15" s="3" t="str">
        <v>Клиент #189 + оператор #12</v>
      </c>
      <c r="E15" s="3" t="str">
        <v>PASS</v>
      </c>
      <c r="F15" s="3" t="str">
        <v>Клавиатурный ввод остановился на maxLength=1000, validity=true. В сообщении обе стороны получили 1000 символов с маркером LIMIT.</v>
      </c>
      <c r="G15" s="3" t="str">
        <v>990 символов + обычный клавиатурный ввод сверх лимита; отправить один раз</v>
      </c>
      <c r="H15" s="8" t="d">
        <v>2026-10-28T14:55:50.239Z</v>
      </c>
      <c r="I15" s="3" t="str">
        <v>https://confideline.com/ru/messages</v>
      </c>
      <c r="J15" s="3" t="str">
        <v>Не выполнялся</v>
      </c>
      <c r="K15" s="3" t="str">
        <v>1 файлов. Основное: evidence/protocol.json
Полный список: лист Источники</v>
      </c>
      <c r="L15" s="3" t="str">
        <v>sources/TZ.md</v>
      </c>
      <c r="M15" s="3" t="str">
        <v>Результат ограничен указанными шагами и текущей сборкой; server commit не предоставлен.</v>
      </c>
      <c r="N15" s="3" t="str">
        <v>Доказательство</v>
      </c>
    </row>
    <row r="16" ht="34.400001525878906" hidden="0" customHeight="1">
      <c r="A16" s="3" t="str">
        <v>CHAT-FILE-02</v>
      </c>
      <c r="B16" s="3" t="str">
        <v>Синтетический PNG с подписью; TXT download через авторизованный IAB</v>
      </c>
      <c r="C16" s="3" t="str">
        <v>Изображение/подпись доставлены, TXT скачивается без искажения</v>
      </c>
      <c r="D16" s="3" t="str">
        <v>Клиент #189 + оператор #12</v>
      </c>
      <c r="E16" s="3" t="str">
        <v>PASS</v>
      </c>
      <c r="F16" s="3" t="str">
        <v>PNG доставлен в #56 обеим сторонам. TXT attachment#44 скачан штатным downloadMedia, 76 байт и SHA256 fba4bb307bb78eabe033570bc024cee8a83a7581ebd8fed6149b471391f27565 совпали с исходником.</v>
      </c>
      <c r="G16" s="3" t="str">
        <v>Синтетический PNG с подписью; TXT download через авторизованный IAB</v>
      </c>
      <c r="H16" s="8" t="d">
        <v>2026-10-28T14:55:50.247Z</v>
      </c>
      <c r="I16" s="3" t="str">
        <v>https://confideline.com/ru/messages</v>
      </c>
      <c r="J16" s="3" t="str">
        <v>Не выполнялся</v>
      </c>
      <c r="K16" s="3" t="str">
        <v>2 файлов. Основное: evidence/originals/received-attachment44.txt
Полный список: лист Источники</v>
      </c>
      <c r="L16" s="3" t="str">
        <v>sources/TZ.md</v>
      </c>
      <c r="M16" s="3" t="str">
        <v>Результат ограничен указанными шагами и текущей сборкой; server commit не предоставлен.</v>
      </c>
      <c r="N16" s="3" t="str">
        <v>Доказательство</v>
      </c>
    </row>
    <row r="17" ht="34.400001525878906" hidden="0" customHeight="1">
      <c r="A17" s="3" t="str">
        <v>CHAT-NET-01</v>
      </c>
      <c r="B17" s="3" t="str">
        <v>Временный offline текущей вкладки; одна Send; сеть восстановлена; Retry same message</v>
      </c>
      <c r="C17" s="3" t="str">
        <v>Текст сохранён; исходная операция сверяется без дубликата</v>
      </c>
      <c r="D17" s="3" t="str">
        <v>Клиент #189</v>
      </c>
      <c r="E17" s="3" t="str">
        <v>PASS</v>
      </c>
      <c r="F17" s="3" t="str">
        <v>При offline: unknown, исходный текст сохранён и новый Send заблокирован. После восстановления сети Retry same message доставил один экземпляр оператору; приложение очистило draft. Сеть восстановлена.</v>
      </c>
      <c r="G17" s="3" t="str">
        <v>Временный offline текущей вкладки; одна Send; сеть восстановлена; Retry same message</v>
      </c>
      <c r="H17" s="8" t="d">
        <v>2026-10-28T14:57:16.347Z</v>
      </c>
      <c r="I17" s="3" t="str">
        <v>https://confideline.com/ru/messages</v>
      </c>
      <c r="J17" s="3" t="str">
        <v>Не выполнялся</v>
      </c>
      <c r="K17" s="3" t="str">
        <v>2 файлов. Основное: evidence/originals/chat-offline-unknown-retained.jpg
Полный список: лист Источники</v>
      </c>
      <c r="L17" s="3" t="str">
        <v>sources/TZ.md</v>
      </c>
      <c r="M17" s="3" t="str">
        <v>Результат ограничен указанными шагами и текущей сборкой; server commit не предоставлен.</v>
      </c>
      <c r="N17" s="3" t="str">
        <v>Доказательство</v>
      </c>
    </row>
    <row r="18" ht="34.400001525878906" hidden="0" customHeight="1">
      <c r="A18" s="3" t="str">
        <v>CHAT-DELETE-01</v>
      </c>
      <c r="B18" s="3" t="str">
        <v>Меню Удаление беседы → Отмена</v>
      </c>
      <c r="C18" s="3" t="str">
        <v>Есть подтверждение; отмена не удаляет диалог/сообщения</v>
      </c>
      <c r="D18" s="3" t="str">
        <v>Клиент #189</v>
      </c>
      <c r="E18" s="3" t="str">
        <v>PASS</v>
      </c>
      <c r="F18" s="3" t="str">
        <v>Открыто Удалить эту беседу? с Отмена/Удалить. Отмена сохранила #56 и OFFLINE-сообщение. Необратимое удаление старой истории не выполнялось.</v>
      </c>
      <c r="G18" s="3" t="str">
        <v>Меню Удаление беседы → Отмена</v>
      </c>
      <c r="H18" s="8" t="d">
        <v>2026-10-28T14:58:14.677Z</v>
      </c>
      <c r="I18" s="3" t="str">
        <v>https://confideline.com/ru/messages</v>
      </c>
      <c r="J18" s="3" t="str">
        <v>Не выполнялся</v>
      </c>
      <c r="K18" s="3" t="str">
        <v>2 файлов. Основное: evidence/originals/chat-delete-confirm.jpg
Полный список: лист Источники</v>
      </c>
      <c r="L18" s="3" t="str">
        <v>sources/TZ.md</v>
      </c>
      <c r="M18" s="3" t="str">
        <v>Результат ограничен указанными шагами и текущей сборкой; server commit не предоставлен.</v>
      </c>
      <c r="N18" s="3" t="str">
        <v>Доказательство</v>
      </c>
    </row>
    <row r="19" ht="34.400001525878906" hidden="0" customHeight="1">
      <c r="A19" s="3" t="str">
        <v>CHAT-FILE-LIMIT-01</v>
      </c>
      <c r="B19" s="3" t="str">
        <v>EXE, 6 малых TXT, отдельный 16 MiB, три по 9 MiB</v>
      </c>
      <c r="C19" s="3" t="str">
        <v>Запрещённые/сверхлимитные файлы не отправляются; ≤5/10MiB/25MiB</v>
      </c>
      <c r="D19" s="3" t="str">
        <v>Клиент #189</v>
      </c>
      <c r="E19" s="3" t="str">
        <v>PASS</v>
      </c>
      <c r="F19" s="3" t="str">
        <v>EXE и 16MiB отклонены; шесть малых ограничены пятью; суммарные 27MiB отклонены без очереди. Крупные тестовые файлы не отправлены.</v>
      </c>
      <c r="G19" s="3" t="str">
        <v>EXE, 6 малых TXT, отдельный 16 MiB, три по 9 MiB</v>
      </c>
      <c r="H19" s="8" t="d">
        <v>2026-10-28T14:59:38.122Z</v>
      </c>
      <c r="I19" s="3" t="str">
        <v>https://confideline.com/ru/messages</v>
      </c>
      <c r="J19" s="3" t="str">
        <v>Не выполнялся</v>
      </c>
      <c r="K19" s="3" t="str">
        <v>2 файлов. Основное: evidence/originals/chat-total-limit.jpg
Полный список: лист Источники</v>
      </c>
      <c r="L19" s="3" t="str">
        <v>sources/TZ.md</v>
      </c>
      <c r="M19" s="3" t="str">
        <v>Результат ограничен указанными шагами и текущей сборкой; server commit не предоставлен.</v>
      </c>
      <c r="N19" s="3" t="str">
        <v>Доказательство</v>
      </c>
    </row>
    <row r="20" ht="34.400001525878906" hidden="0" customHeight="1">
      <c r="A20" s="3" t="str">
        <v>CHAT-QUOTE-01</v>
      </c>
      <c r="B20" s="3" t="str">
        <v>Reply на OFFLINE → текст QUOTE → отправка; выбрать/снять Select message</v>
      </c>
      <c r="C20" s="3" t="str">
        <v>Цитата сохраняет исходное сообщение, выбор показывает число и снимается</v>
      </c>
      <c r="D20" s="3" t="str">
        <v>Клиент #189 + оператор #12</v>
      </c>
      <c r="E20" s="3" t="str">
        <v>PASS</v>
      </c>
      <c r="F20" s="3" t="str">
        <v>Показано Reply to QA Client и Cancel reply; QUOTE отправлен с цитатой OFFLINE, оператор получил. Select message меняет aria-pressed=true, появляется 1 у удаления; повтор снимает выбор. Удаление не выполнялось.</v>
      </c>
      <c r="G20" s="3" t="str">
        <v>Reply на OFFLINE → текст QUOTE → отправка; выбрать/снять Select message</v>
      </c>
      <c r="H20" s="8" t="d">
        <v>2026-10-28T15:02:42.876Z</v>
      </c>
      <c r="I20" s="3" t="str">
        <v>https://confideline.com/ru/messages</v>
      </c>
      <c r="J20" s="3" t="str">
        <v>Не выполнялся</v>
      </c>
      <c r="K20" s="3" t="str">
        <v>1 файлов. Основное: evidence/protocol.json
Полный список: лист Источники</v>
      </c>
      <c r="L20" s="3" t="str">
        <v>sources/TZ.md</v>
      </c>
      <c r="M20" s="3" t="str">
        <v>Результат ограничен указанными шагами и текущей сборкой; server commit не предоставлен.</v>
      </c>
      <c r="N20" s="3" t="str">
        <v>Доказательство</v>
      </c>
    </row>
    <row r="21" ht="34.400001525878906" hidden="0" customHeight="1">
      <c r="A21" s="3" t="str">
        <v>CHAT-SEARCH-01</v>
      </c>
      <c r="B21" s="3" t="str">
        <v>Маркер в поиске истории → Previous → отсутствующий текст → очистка</v>
      </c>
      <c r="C21" s="3" t="str">
        <v>Совпадения и переходы работают, нет результата показано явно</v>
      </c>
      <c r="D21" s="3" t="str">
        <v>Клиент #189</v>
      </c>
      <c r="E21" s="3" t="str">
        <v>PASS</v>
      </c>
      <c r="F21" s="3" t="str">
        <v>QA-маркер дал 5 совпадений, Previous изменил счётчик на 2/5; отсутствующий текст показал Совпадений не найдено. Очистка/закрытие возвращает историю.</v>
      </c>
      <c r="G21" s="3" t="str">
        <v>Маркер в поиске истории → Previous → отсутствующий текст → очистка</v>
      </c>
      <c r="H21" s="8" t="d">
        <v>2026-10-28T15:08:09.952Z</v>
      </c>
      <c r="I21" s="3" t="str">
        <v>https://confideline.com/ru/messages</v>
      </c>
      <c r="J21" s="3" t="str">
        <v>Не выполнялся</v>
      </c>
      <c r="K21" s="3" t="str">
        <v>1 файлов. Основное: evidence/protocol.json
Полный список: лист Источники</v>
      </c>
      <c r="L21" s="3" t="str">
        <v>sources/TZ.md</v>
      </c>
      <c r="M21" s="3" t="str">
        <v>Результат ограничен указанными шагами и текущей сборкой; server commit не предоставлен.</v>
      </c>
      <c r="N21" s="3" t="str">
        <v>Доказательство</v>
      </c>
    </row>
    <row r="22" ht="34.400001525878906" hidden="0" customHeight="1">
      <c r="A22" s="3" t="str">
        <v>CHAT-UI-01</v>
      </c>
      <c r="B22" s="3" t="str">
        <v>Условия на 360 и 1280px</v>
      </c>
      <c r="C22" s="3" t="str">
        <v>При открытых условиях компактная тарифная панель скрыта согласно TZ</v>
      </c>
      <c r="D22" s="3" t="str">
        <v>Клиент #189</v>
      </c>
      <c r="E22" s="3" t="str">
        <v>FAIL</v>
      </c>
      <c r="F22" s="3" t="str">
        <v>Полная панель условий и компактная панель тарифа одновременно присутствуют на обоих размерах.</v>
      </c>
      <c r="G22" s="3" t="str">
        <v>Условия на 360 и 1280px</v>
      </c>
      <c r="H22" s="8" t="d">
        <v>2026-10-28T15:08:09.955Z</v>
      </c>
      <c r="I22" s="3" t="str">
        <v>https://confideline.com/ru/messages</v>
      </c>
      <c r="J22" s="3" t="str">
        <v>Не выполнялся</v>
      </c>
      <c r="K22" s="3" t="str">
        <v>3 файлов. Основное: evidence/originals/chat-terms-360.png
Полный список: лист Источники</v>
      </c>
      <c r="L22" s="3" t="str">
        <v>sources/TZ.md</v>
      </c>
      <c r="M22" s="3" t="str">
        <v>Результат ограничен указанными шагами и текущей сборкой; server commit не предоставлен.</v>
      </c>
      <c r="N22" s="3" t="str">
        <v>Доказательство</v>
      </c>
    </row>
    <row r="23" ht="34.400001525878906" hidden="0" customHeight="1">
      <c r="A23" s="3" t="str">
        <v>CHAT-UI-02</v>
      </c>
      <c r="B23" s="3" t="str">
        <v>Открыть диалог при 360 CSS px</v>
      </c>
      <c r="C23" s="3" t="str">
        <v>Placeholder/текст редактора читаем, без внутренней обрезки пустого поля</v>
      </c>
      <c r="D23" s="3" t="str">
        <v>Клиент #189</v>
      </c>
      <c r="E23" s="3" t="str">
        <v>FAIL</v>
      </c>
      <c r="F23" s="3" t="str">
        <v>Пустой placeholder Введите ваше сообщение... переносится на вторую обрезанную строку; внутри пустого поля видна прокрутка.</v>
      </c>
      <c r="G23" s="3" t="str">
        <v>Открыть диалог при 360 CSS px</v>
      </c>
      <c r="H23" s="8" t="d">
        <v>2026-10-28T15:08:09.959Z</v>
      </c>
      <c r="I23" s="3" t="str">
        <v>https://confideline.com/ru/messages</v>
      </c>
      <c r="J23" s="3" t="str">
        <v>Не выполнялся</v>
      </c>
      <c r="K23" s="3" t="str">
        <v>2 файлов. Основное: evidence/originals/chat-thread-360.png
Полный список: лист Источники</v>
      </c>
      <c r="L23" s="3" t="str">
        <v>sources/TZ.md</v>
      </c>
      <c r="M23" s="3" t="str">
        <v>Результат ограничен указанными шагами и текущей сборкой; server commit не предоставлен.</v>
      </c>
      <c r="N23" s="3" t="str">
        <v>Доказательство</v>
      </c>
    </row>
    <row r="24" ht="34.400001525878906" hidden="0" customHeight="1">
      <c r="A24" s="3" t="str">
        <v>CHAT-RU-01</v>
      </c>
      <c r="B24" s="3" t="str">
        <v>Открыть RU-чат, список, условия, файлы</v>
      </c>
      <c r="C24" s="3" t="str">
        <v>Подписи соответствуют RU-макету поставки</v>
      </c>
      <c r="D24" s="3" t="str">
        <v>Клиент #189</v>
      </c>
      <c r="E24" s="3" t="str">
        <v>FAIL</v>
      </c>
      <c r="F24" s="3" t="str">
        <v>Search contact, Unread, Consultation details, Request paid consultation, Drafts..., Photos and documents и существенные условия остаются на английском.</v>
      </c>
      <c r="G24" s="3" t="str">
        <v>Открыть RU-чат, список, условия, файлы</v>
      </c>
      <c r="H24" s="8" t="d">
        <v>2026-10-28T15:08:20.657Z</v>
      </c>
      <c r="I24" s="3" t="str">
        <v>https://confideline.com/ru/messages</v>
      </c>
      <c r="J24" s="3" t="str">
        <v>Не выполнялся</v>
      </c>
      <c r="K24" s="3" t="str">
        <v>3 файлов. Основное: evidence/originals/client-terms-before.jpg
Полный список: лист Источники</v>
      </c>
      <c r="L24" s="3" t="str">
        <v>sources/TZ.md</v>
      </c>
      <c r="M24" s="3" t="str">
        <v>Результат ограничен указанными шагами и текущей сборкой; server commit не предоставлен.</v>
      </c>
      <c r="N24" s="3" t="str">
        <v>Доказательство</v>
      </c>
    </row>
    <row r="25" ht="47.599998474121094" hidden="0" customHeight="1">
      <c r="A25" s="3" t="str">
        <v>CHAT-PAID-05</v>
      </c>
      <c r="B25" s="3" t="str">
        <v>Финальный расчёт сверх первой минуты</v>
      </c>
      <c r="C25" s="3" t="str">
        <v>Первая минута 10 + ceil(45 × 10 / 60)=8, всего18; после завершения один финальный debit и актуальный readback обеих ролей.</v>
      </c>
      <c r="D25" s="3" t="str">
        <v>Клиент #189 + оператор #12</v>
      </c>
      <c r="E25" s="3" t="str">
        <v>PASS</v>
      </c>
      <c r="F25" s="3" t="str">
        <v>Session#27 ss-01c1f0a62ee9b8cd7abaeb37 завершена:105 активных/105 оплаченных секунд; #268 -10 и #269 -8 (15:07UTC), 8536→8518. Client Final calculation completed;18 credits. Всего в этом QA 28 demo-кредитов (session26=10, session27=18). Активного биллинга и ожидания старта нет.</v>
      </c>
      <c r="G25" s="3" t="str">
        <v>Финальный расчёт сверх первой минуты</v>
      </c>
      <c r="H25" s="8" t="d">
        <v>2026-10-28T15:26:35.274Z</v>
      </c>
      <c r="I25" s="3" t="str">
        <v>https://confideline.com/ru/messages</v>
      </c>
      <c r="J25" s="3" t="str">
        <v>Не выполнялся</v>
      </c>
      <c r="K25" s="3" t="str">
        <v>3 файлов. Основное: evidence/originals/second-session-final.json
Полный список: лист Источники</v>
      </c>
      <c r="L25" s="3" t="str">
        <v>sources/TZ.md</v>
      </c>
      <c r="M25" s="3" t="str">
        <v>Результат ограничен указанными шагами и текущей сборкой; server commit не предоставлен.</v>
      </c>
      <c r="N25" s="3" t="str">
        <v>Доказательство</v>
      </c>
    </row>
    <row r="26" ht="34.400001525878906" hidden="0" customHeight="1">
      <c r="A26" s="3" t="str">
        <v>CHAT-AUTH-01</v>
      </c>
      <c r="B26" s="3" t="str">
        <v>Login as user в двух независимых браузерах</v>
      </c>
      <c r="C26" s="3" t="str">
        <v>Подтверждённые клиент #189 и агент #12, независимые сессии</v>
      </c>
      <c r="D26" s="3" t="str">
        <v>Клиент #189 + Kristy #12</v>
      </c>
      <c r="E26" s="3" t="str">
        <v>PASS</v>
      </c>
      <c r="F26" s="3" t="str">
        <v>IAB вошёл клиентом #189; Chrome после этого оставался Admin, затем вошёл Kristy #12. Верифицированы роли и общий диалог #57/#56. Windows native recovery этим не заявляется.</v>
      </c>
      <c r="G26" s="3" t="str">
        <v>Login as user в двух независимых браузерах</v>
      </c>
      <c r="H26" s="8" t="d">
        <v>2026-10-28T15:26:35.274Z</v>
      </c>
      <c r="I26" s="3" t="str">
        <v>https://confideline.com/ru/messages</v>
      </c>
      <c r="J26" s="3" t="str">
        <v>Не выполнялся</v>
      </c>
      <c r="K26" s="3" t="str">
        <v>5 файлов. Основное: evidence/originals/login-client-189.json
Полный список: лист Источники</v>
      </c>
      <c r="L26" s="3" t="str">
        <v>sources/TZ.md</v>
      </c>
      <c r="M26" s="3" t="str">
        <v>Результат ограничен указанными шагами и текущей сборкой; server commit не предоставлен.</v>
      </c>
      <c r="N26" s="3" t="str">
        <v>Доказательство</v>
      </c>
    </row>
    <row r="27" ht="34.400001525878906" hidden="0" customHeight="1">
      <c r="A27" s="3" t="str">
        <v>CHAT-PAID-BUSY-01</v>
      </c>
      <c r="B27" s="3" t="str">
        <v>Запрос к занятому эксперту Talia</v>
      </c>
      <c r="C27" s="3" t="str">
        <v>409 с понятной причиной, без нового старта и дебета</v>
      </c>
      <c r="D27" s="3" t="str">
        <v>Клиент #189</v>
      </c>
      <c r="E27" s="3" t="str">
        <v>PASS</v>
      </c>
      <c r="F27" s="3" t="str">
        <v>В диалоге #57 endpoint paid-session-request вернул 409; показано Этот эксперт сейчас занят другой платной консультацией. Другую активную консультацию не завершали.</v>
      </c>
      <c r="G27" s="3" t="str">
        <v>Запрос к занятому эксперту Talia</v>
      </c>
      <c r="H27" s="8" t="d">
        <v>2026-10-28T15:26:35.274Z</v>
      </c>
      <c r="I27" s="3" t="str">
        <v>https://confideline.com/ru/messages</v>
      </c>
      <c r="J27" s="3" t="str">
        <v>Не выполнялся</v>
      </c>
      <c r="K27" s="3" t="str">
        <v>1 файлов. Основное: evidence/protocol.json
Полный список: лист Источники</v>
      </c>
      <c r="L27" s="3" t="str">
        <v>sources/TZ.md</v>
      </c>
      <c r="M27" s="3" t="str">
        <v>Результат ограничен указанными шагами и текущей сборкой; server commit не предоставлен.</v>
      </c>
      <c r="N27" s="3" t="str">
        <v>Доказательство</v>
      </c>
    </row>
    <row r="28" ht="34.400001525878906" hidden="0" customHeight="1">
      <c r="A28" s="3" t="str">
        <v>CHAT-REPORT-01</v>
      </c>
      <c r="B28" s="3" t="str">
        <v>Открыть и отменить жалобу</v>
      </c>
      <c r="C28" s="3" t="str">
        <v>Шесть причин, описание, отмена сохраняет чат; support отдельно</v>
      </c>
      <c r="D28" s="3" t="str">
        <v>Клиент #189</v>
      </c>
      <c r="E28" s="3" t="str">
        <v>PASS</v>
      </c>
      <c r="F28" s="3" t="str">
        <v>Открыта форма с six categories spam/profile/rude/fake/fraud/other; отмена сохранила #56. Жалоба не подавалась.</v>
      </c>
      <c r="G28" s="3" t="str">
        <v>Открыть и отменить жалобу</v>
      </c>
      <c r="H28" s="8" t="d">
        <v>2026-10-28T15:26:35.274Z</v>
      </c>
      <c r="I28" s="3" t="str">
        <v>https://confideline.com/ru/messages</v>
      </c>
      <c r="J28" s="3" t="str">
        <v>Не выполнялся</v>
      </c>
      <c r="K28" s="3" t="str">
        <v>2 файлов. Основное: evidence/originals/chat-report-modal.jpg
Полный список: лист Источники</v>
      </c>
      <c r="L28" s="3" t="str">
        <v>sources/TZ.md</v>
      </c>
      <c r="M28" s="3" t="str">
        <v>Результат ограничен указанными шагами и текущей сборкой; server commit не предоставлен.</v>
      </c>
      <c r="N28" s="3" t="str">
        <v>Доказательство</v>
      </c>
    </row>
    <row r="29" ht="34.400001525878906" hidden="0" customHeight="1">
      <c r="A29" s="3" t="str">
        <v>CHAT-RESP-01</v>
      </c>
      <c r="B29" s="3" t="str">
        <v>Проверить ширины чата и мобильный список/диалог</v>
      </c>
      <c r="C29" s="3" t="str">
        <v>На пяти CSS-ширинах нет горизонтального переполнения; mobile открывает выбранный peer</v>
      </c>
      <c r="D29" s="3" t="str">
        <v>Клиент #189</v>
      </c>
      <c r="E29" s="3" t="str">
        <v>PASS</v>
      </c>
      <c r="F29" s="3" t="str">
        <v>360/480/768/992/1280 CSS px при scale=1. Документ не выходит по горизонтали. При 360 сначала список, выбор Solara открывает диалог. Локальная обрезка редактора вынесена в CHAT-UI-02.</v>
      </c>
      <c r="G29" s="3" t="str">
        <v>Проверить ширины чата и мобильный список/диалог</v>
      </c>
      <c r="H29" s="8" t="d">
        <v>2026-10-28T15:26:35.274Z</v>
      </c>
      <c r="I29" s="3" t="str">
        <v>https://confideline.com/ru/messages</v>
      </c>
      <c r="J29" s="3" t="str">
        <v>Не выполнялся</v>
      </c>
      <c r="K29" s="3" t="str">
        <v>9 файлов. Основное: evidence/originals/responsive-metrics.json
Полный список: лист Источники</v>
      </c>
      <c r="L29" s="3" t="str">
        <v>sources/TZ.md</v>
      </c>
      <c r="M29" s="3" t="str">
        <v>Результат ограничен указанными шагами и текущей сборкой; server commit не предоставлен.</v>
      </c>
      <c r="N29" s="3" t="str">
        <v>Доказательство</v>
      </c>
    </row>
    <row r="30" ht="47.599998474121094" hidden="0" customHeight="1">
      <c r="A30" s="3" t="str">
        <v>CHAT-TRIAL-01</v>
      </c>
      <c r="B30" s="3" t="str">
        <v>Пробные минуты и переход к платной части</v>
      </c>
      <c r="C30" s="3" t="str">
        <v>Пробные минуты расходуются из lifetime-остатка один раз, затем применяется принятый тариф.</v>
      </c>
      <c r="D30" s="3" t="str">
        <v>Клиент/назначенный оператор/второй контрольный клиент по критерию</v>
      </c>
      <c r="E30" s="3" t="str">
        <v>NOT_RUN</v>
      </c>
      <c r="F30" s="3" t="str">
        <v>У клиента #189 сервер показывает No trial minutes remain. Не пополнялись trial и не менялись настройки/права.</v>
      </c>
      <c r="G30" s="3" t="str"/>
      <c r="H30" s="8" t="str"/>
      <c r="I30" s="3" t="str">
        <v>https://confideline.com/ru/messages</v>
      </c>
      <c r="J30" s="3" t="str">
        <v>Не выполнялся</v>
      </c>
      <c r="K30" s="3" t="str"/>
      <c r="L30" s="3" t="str">
        <v>sources/TZ.md</v>
      </c>
      <c r="M30" s="3" t="str">
        <v>У клиента #189 сервер показывает No trial minutes remain. Не пополнялись trial и не менялись настройки/права.</v>
      </c>
      <c r="N30" s="3" t="str">
        <v>Требование</v>
      </c>
    </row>
    <row r="31" ht="47.599998474121094" hidden="0" customHeight="1">
      <c r="A31" s="3" t="str">
        <v>CHAT-LOW-BALANCE-01</v>
      </c>
      <c r="B31" s="3" t="str">
        <v>Недостаточный баланс и пополнение в sandbox</v>
      </c>
      <c r="C31" s="3" t="str">
        <v>Отказ до согласия/старта; пополнение не запускает чат автоматически.</v>
      </c>
      <c r="D31" s="3" t="str">
        <v>Клиент/назначенный оператор/второй контрольный клиент по критерию</v>
      </c>
      <c r="E31" s="3" t="str">
        <v>NOT_RUN</v>
      </c>
      <c r="F31" s="3" t="str">
        <v>Клиент #189 имеет положительный баланс. Реальная покупка, обнуление кошелька и изменение прав ради fixture не выполнялись.</v>
      </c>
      <c r="G31" s="3" t="str"/>
      <c r="H31" s="8" t="str"/>
      <c r="I31" s="3" t="str">
        <v>https://confideline.com/ru/messages</v>
      </c>
      <c r="J31" s="3" t="str">
        <v>Не выполнялся</v>
      </c>
      <c r="K31" s="3" t="str"/>
      <c r="L31" s="3" t="str">
        <v>sources/TZ.md</v>
      </c>
      <c r="M31" s="3" t="str">
        <v>Клиент #189 имеет положительный баланс. Реальная покупка, обнуление кошелька и изменение прав ради fixture не выполнялись.</v>
      </c>
      <c r="N31" s="3" t="str">
        <v>Требование</v>
      </c>
    </row>
    <row r="32" ht="47.599998474121094" hidden="0" customHeight="1">
      <c r="A32" s="3" t="str">
        <v>CHAT-OFFER-EXPIRY-01</v>
      </c>
      <c r="B32" s="3" t="str">
        <v>Истечение/обновление предложения и сброс согласия</v>
      </c>
      <c r="C32" s="3" t="str">
        <v>Серверное истечение и новая цена требуют нового согласия, нет списания по старому согласию.</v>
      </c>
      <c r="D32" s="3" t="str">
        <v>Клиент/назначенный оператор/второй контрольный клиент по критерию</v>
      </c>
      <c r="E32" s="3" t="str">
        <v>NOT_RUN</v>
      </c>
      <c r="F32" s="3" t="str">
        <v>Не изменялись часы, тарифы, TTL или серверные события. Новая цена/истечение не воспроизведены.</v>
      </c>
      <c r="G32" s="3" t="str"/>
      <c r="H32" s="8" t="str"/>
      <c r="I32" s="3" t="str">
        <v>https://confideline.com/ru/messages</v>
      </c>
      <c r="J32" s="3" t="str">
        <v>Не выполнялся</v>
      </c>
      <c r="K32" s="3" t="str"/>
      <c r="L32" s="3" t="str">
        <v>sources/TZ.md</v>
      </c>
      <c r="M32" s="3" t="str">
        <v>Не изменялись часы, тарифы, TTL или серверные события. Новая цена/истечение не воспроизведены.</v>
      </c>
      <c r="N32" s="3" t="str">
        <v>Требование</v>
      </c>
    </row>
    <row r="33" ht="47.599998474121094" hidden="0" customHeight="1">
      <c r="A33" s="3" t="str">
        <v>CHAT-RACE-01</v>
      </c>
      <c r="B33" s="3" t="str">
        <v>Конкурирующие старты/завершения и серверная идемпотентность</v>
      </c>
      <c r="C33" s="3" t="str">
        <v>Повтор с одинаковой операцией и конкурентные команды не создают второй дебет.</v>
      </c>
      <c r="D33" s="3" t="str">
        <v>Клиент/назначенный оператор/второй контрольный клиент по критерию</v>
      </c>
      <c r="E33" s="3" t="str">
        <v>NOT_RUN</v>
      </c>
      <c r="F33" s="3" t="str">
        <v>UI-retry одного сообщения проверен; гонки финансовых команд и server-side replay не выполнялись и этим не доказаны.</v>
      </c>
      <c r="G33" s="3" t="str"/>
      <c r="H33" s="8" t="str"/>
      <c r="I33" s="3" t="str">
        <v>https://confideline.com/ru/messages</v>
      </c>
      <c r="J33" s="3" t="str">
        <v>Не выполнялся</v>
      </c>
      <c r="K33" s="3" t="str"/>
      <c r="L33" s="3" t="str">
        <v>sources/TZ.md</v>
      </c>
      <c r="M33" s="3" t="str">
        <v>UI-retry одного сообщения проверен; гонки финансовых команд и server-side replay не выполнялись и этим не доказаны.</v>
      </c>
      <c r="N33" s="3" t="str">
        <v>Требование</v>
      </c>
    </row>
    <row r="34" ht="47.599998474121094" hidden="0" customHeight="1">
      <c r="A34" s="3" t="str">
        <v>CHAT-ACL-01</v>
      </c>
      <c r="B34" s="3" t="str">
        <v>Запрет чужих вложений/сессий</v>
      </c>
      <c r="C34" s="3" t="str">
        <v>Клиент и агент видят только разрешённые документы, внутренние идентификаторы и консультации.</v>
      </c>
      <c r="D34" s="3" t="str">
        <v>Клиент/назначенный оператор/второй контрольный клиент по критерию</v>
      </c>
      <c r="E34" s="3" t="str">
        <v>NOT_RUN</v>
      </c>
      <c r="F34" s="3" t="str">
        <v>Положительные роли и приватность support note проверены. Отрицательный контроль другим клиентом и прямой URL чужой тестовой записи не выполнен.</v>
      </c>
      <c r="G34" s="3" t="str"/>
      <c r="H34" s="8" t="str"/>
      <c r="I34" s="3" t="str">
        <v>https://confideline.com/ru/messages</v>
      </c>
      <c r="J34" s="3" t="str">
        <v>Не выполнялся</v>
      </c>
      <c r="K34" s="3" t="str"/>
      <c r="L34" s="3" t="str">
        <v>sources/TZ.md</v>
      </c>
      <c r="M34" s="3" t="str">
        <v>Положительные роли и приватность support note проверены. Отрицательный контроль другим клиентом и прямой URL чужой тестовой записи не выполнен.</v>
      </c>
      <c r="N34" s="3" t="str">
        <v>Требование</v>
      </c>
    </row>
    <row r="35" ht="47.599998474121094" hidden="0" customHeight="1">
      <c r="A35" s="3" t="str">
        <v>CHAT-DEVICE-01</v>
      </c>
      <c r="B35" s="3" t="str">
        <v>Физические iPhone и Android</v>
      </c>
      <c r="C35" s="3" t="str">
        <v>Touch, клавиатура, viewport и отправка проверены на реальных устройствах с получателем.</v>
      </c>
      <c r="D35" s="3" t="str">
        <v>Клиент/назначенный оператор/второй контрольный клиент по критерию</v>
      </c>
      <c r="E35" s="3" t="str">
        <v>NOT_RUN</v>
      </c>
      <c r="F35" s="3" t="str">
        <v>Выполнены CSS viewport 360/480/768/992/1280 при scale=1; физические телефоны не подключены.</v>
      </c>
      <c r="G35" s="3" t="str"/>
      <c r="H35" s="8" t="str"/>
      <c r="I35" s="3" t="str">
        <v>https://confideline.com/ru/messages</v>
      </c>
      <c r="J35" s="3" t="str">
        <v>Не выполнялся</v>
      </c>
      <c r="K35" s="3" t="str"/>
      <c r="L35" s="3" t="str">
        <v>sources/TZ.md</v>
      </c>
      <c r="M35" s="3" t="str">
        <v>Выполнены CSS viewport 360/480/768/992/1280 при scale=1; физические телефоны не подключены.</v>
      </c>
      <c r="N35" s="3" t="str">
        <v>Требование</v>
      </c>
    </row>
    <row r="36" ht="47.599998474121094" hidden="0" customHeight="1">
      <c r="A36" s="3" t="str">
        <v>CHAT-DELETE-FINAL-01</v>
      </c>
      <c r="B36" s="3" t="str">
        <v>Окончательное удаление и серверное сохранение</v>
      </c>
      <c r="C36" s="3" t="str">
        <v>Подтверждённое удаление специально выделенного disposable-диалога даёт ожидаемую историю обеим сторонам.</v>
      </c>
      <c r="D36" s="3" t="str">
        <v>Клиент/назначенный оператор/второй контрольный клиент по критерию</v>
      </c>
      <c r="E36" s="3" t="str">
        <v>NOT_RUN</v>
      </c>
      <c r="F36" s="3" t="str">
        <v>Проверены только подтверждение и отмена. Старая тестовая история #56/#57 не удалялась.</v>
      </c>
      <c r="G36" s="3" t="str"/>
      <c r="H36" s="8" t="str"/>
      <c r="I36" s="3" t="str">
        <v>https://confideline.com/ru/messages</v>
      </c>
      <c r="J36" s="3" t="str">
        <v>Не выполнялся</v>
      </c>
      <c r="K36" s="3" t="str"/>
      <c r="L36" s="3" t="str">
        <v>sources/TZ.md</v>
      </c>
      <c r="M36" s="3" t="str">
        <v>Проверены только подтверждение и отмена. Старая тестовая история #56/#57 не удалялась.</v>
      </c>
      <c r="N36" s="3" t="str">
        <v>Требование</v>
      </c>
    </row>
    <row r="37" ht="47.599998474121094" hidden="0" customHeight="1">
      <c r="A37" s="3" t="str">
        <v>CHAT-POLICY-01</v>
      </c>
      <c r="B37" s="3" t="str">
        <v>Серверные отказы файлов и работа в долгом офлайне</v>
      </c>
      <c r="C37" s="3" t="str">
        <v>Сервер отклоняет обход клиентских лимитов; долгий reconnect не создаёт потерю/дубликат.</v>
      </c>
      <c r="D37" s="3" t="str">
        <v>Клиент/назначенный оператор/второй контрольный клиент по критерию</v>
      </c>
      <c r="E37" s="3" t="str">
        <v>NOT_RUN</v>
      </c>
      <c r="F37" s="3" t="str">
        <v>Проверены видимые клиентские лимиты и один контролируемый offline/retry; HTTP bypass и длительные сетевые гонки не выполнялись.</v>
      </c>
      <c r="G37" s="3" t="str"/>
      <c r="H37" s="8" t="str"/>
      <c r="I37" s="3" t="str">
        <v>https://confideline.com/ru/messages</v>
      </c>
      <c r="J37" s="3" t="str">
        <v>Не выполнялся</v>
      </c>
      <c r="K37" s="3" t="str"/>
      <c r="L37" s="3" t="str">
        <v>sources/TZ.md</v>
      </c>
      <c r="M37" s="3" t="str">
        <v>Проверены видимые клиентские лимиты и один контролируемый offline/retry; HTTP bypass и длительные сетевые гонки не выполнялись.</v>
      </c>
      <c r="N37" s="3" t="str">
        <v>Требование</v>
      </c>
    </row>
    <row r="38" ht="47.599998474121094" hidden="0" customHeight="1">
      <c r="A38" s="3" t="str">
        <v>CHAT-RATING-01</v>
      </c>
      <c r="B38" s="3" t="str">
        <v>Рейтинг только в профиле эксперта</v>
      </c>
      <c r="C38" s="3" t="str">
        <v>Рейтинг (звёзды, средняя оценка, число голосов/отзывов) только в профиле эксперта; во всём чате, включая список и шапку, отсутствует. Избранное и действие оценки завершённого сеанса сохраняются; пустого отступа нет.</v>
      </c>
      <c r="D38" s="3" t="str">
        <v>Клиент; эксперт/агент для зависимой приёмки</v>
      </c>
      <c r="E38" s="3" t="str">
        <v>FAIL</v>
      </c>
      <c r="F38" s="3" t="str">
        <v>На предоставленном Алексеем снимке /ru/messages?contactId=103 рейтинг Solara Ortiz виден в списке и шапке. Область исправления уточнена владельцем: убрать из всего чата. Новый live-readback не выполнен; время съёмки неизвестно.</v>
      </c>
      <c r="G38" s="3" t="str">
        <v>Открыть клиентский чат и проверить указанные области по решению владельца.</v>
      </c>
      <c r="H38" s="8" t="str"/>
      <c r="I38" s="3" t="str">
        <v>https://confideline.com/ru/messages?contactId=103</v>
      </c>
      <c r="J38" s="3" t="str">
        <v>Не выполнялся</v>
      </c>
      <c r="K38" s="3" t="str">
        <v>1 файлов. Основное: evidence/originals/owner-rating-chat.png
Полный список: лист Источники</v>
      </c>
      <c r="L38" s="3" t="str">
        <v>sources/OWNER-DECISIONS-20261028.md</v>
      </c>
      <c r="M38" s="3" t="str">
        <v>На предоставленном Алексеем снимке /ru/messages?contactId=103 рейтинг Solara Ortiz виден в списке и шапке. Область исправления уточнена владельцем: убрать из всего чата. Новый live-readback не выполнен; время съёмки неизвестно.</v>
      </c>
      <c r="N38" s="3" t="str">
        <v>Доказательство</v>
      </c>
    </row>
    <row r="39" ht="47.599998474121094" hidden="0" customHeight="1">
      <c r="A39" s="3" t="str">
        <v>CHAT-PRESENCE-01</v>
      </c>
      <c r="B39" s="3" t="str">
        <v>Три состояния индикатора эксперта</v>
      </c>
      <c r="C39" s="3" t="str">
        <v>Единый актуальный статус в списке и шапке: зелёный В сети / Online, жёлтый Занят / Busy, серый Не в сети / Offline. Существующие стили, текстовая расшифровка и доступное имя сохранены.</v>
      </c>
      <c r="D39" s="3" t="str">
        <v>Клиент; эксперт/агент для зависимой приёмки</v>
      </c>
      <c r="E39" s="3" t="str">
        <v>NOT_RUN</v>
      </c>
      <c r="F39" s="3" t="str">
        <v>Решение владельца включено в R2; три состояния и переходы после внедрения не проверялись. Двоичная точка не доказывает трёхцветную реализацию.</v>
      </c>
      <c r="G39" s="3" t="str"/>
      <c r="H39" s="8" t="str"/>
      <c r="I39" s="3" t="str">
        <v>https://confideline.com/ru/messages?contactId=103</v>
      </c>
      <c r="J39" s="3" t="str">
        <v>Не выполнялся</v>
      </c>
      <c r="K39" s="3" t="str"/>
      <c r="L39" s="3" t="str">
        <v>sources/OWNER-DECISIONS-20261028.md</v>
      </c>
      <c r="M39" s="3" t="str">
        <v>Решение владельца включено в R2; три состояния и переходы после внедрения не проверялись. Двоичная точка не доказывает трёхцветную реализацию.</v>
      </c>
      <c r="N39" s="3" t="str">
        <v>Требование</v>
      </c>
    </row>
    <row r="40" ht="60.79999923706055" hidden="0" customHeight="1">
      <c r="A40" s="3" t="str">
        <v>CHAT-PAID-AVAIL-01</v>
      </c>
      <c r="B40" s="3" t="str">
        <v>Запрет новой платной консультации при занятости/оффлайне</v>
      </c>
      <c r="C40" s="3" t="str">
        <v>При занятости/оффлайне кнопки нового запроса/начала нет, в том числе в Tab-порядке. Сервер проверяет доступность до начала/первого списания: при устаревшем статусе нет нового сеанса/дебета. Статус и кнопка обновляются вместе; управление текущим сеансом сохраняется.</v>
      </c>
      <c r="D40" s="3" t="str">
        <v>Клиент; эксперт/агент для зависимой приёмки</v>
      </c>
      <c r="E40" s="3" t="str">
        <v>NOT_RUN</v>
      </c>
      <c r="F40" s="3" t="str">
        <v>Скрытие кнопки, оффлайн и гонка статуса по новому правилу владельца не проверялись. Прежний CHAT-PAID-BUSY-01 PASS подтверждает только наблюдавшийся 409 без нового старта/дебета.</v>
      </c>
      <c r="G40" s="3" t="str"/>
      <c r="H40" s="8" t="str"/>
      <c r="I40" s="3" t="str">
        <v>https://confideline.com/ru/messages?contactId=103</v>
      </c>
      <c r="J40" s="3" t="str">
        <v>Не выполнялся</v>
      </c>
      <c r="K40" s="3" t="str"/>
      <c r="L40" s="3" t="str">
        <v>sources/OWNER-DECISIONS-20261028.md</v>
      </c>
      <c r="M40" s="3" t="str">
        <v>Скрытие кнопки, оффлайн и гонка статуса по новому правилу владельца не проверялись. Прежний CHAT-PAID-BUSY-01 PASS подтверждает только наблюдавшийся 409 без нового старта/дебета.</v>
      </c>
      <c r="N40" s="3" t="str">
        <v>Требование</v>
      </c>
    </row>
  </sheetData>
  <conditionalFormatting sqref="E2:E40">
    <cfRule type="containsText" dxfId="0" priority="1" operator="containsText" text="FAIL"/>
    <cfRule type="containsText" dxfId="1" priority="2" operator="containsText" text="BLOCKED"/>
    <cfRule type="containsText" dxfId="2" priority="3" operator="containsText" text="NOT_RUN"/>
  </conditionalFormatting>
  <dataValidations count="1">
    <dataValidation type="list" sqref="E2:E40">
      <formula1>"PASS,FAIL,BLOCKED,NOT_RUN,N/A,INVALID,WARN"</formula1>
    </dataValidation>
  </dataValidations>
  <hyperlinks>
    <hyperlink ref="N2" r:id="qaAuditLink1"/>
    <hyperlink ref="N3" r:id="qaAuditLink2"/>
    <hyperlink ref="N4" r:id="qaAuditLink3"/>
    <hyperlink ref="N5" r:id="qaAuditLink4"/>
    <hyperlink ref="N6" r:id="qaAuditLink5"/>
    <hyperlink ref="N7" r:id="qaAuditLink6"/>
    <hyperlink ref="N8" r:id="qaAuditLink7"/>
    <hyperlink ref="N9" r:id="qaAuditLink8"/>
    <hyperlink ref="N10" r:id="qaAuditLink9"/>
    <hyperlink ref="N11" r:id="qaAuditLink10"/>
    <hyperlink ref="N12" r:id="qaAuditLink11"/>
    <hyperlink ref="N13" r:id="qaAuditLink12"/>
    <hyperlink ref="N14" r:id="qaAuditLink13"/>
    <hyperlink ref="N15" r:id="qaAuditLink14"/>
    <hyperlink ref="N16" r:id="qaAuditLink15"/>
    <hyperlink ref="N17" r:id="qaAuditLink16"/>
    <hyperlink ref="N18" r:id="qaAuditLink17"/>
    <hyperlink ref="N19" r:id="qaAuditLink18"/>
    <hyperlink ref="N20" r:id="qaAuditLink19"/>
    <hyperlink ref="N21" r:id="qaAuditLink20"/>
    <hyperlink ref="N22" r:id="qaAuditLink21"/>
    <hyperlink ref="N23" r:id="qaAuditLink22"/>
    <hyperlink ref="N24" r:id="qaAuditLink23"/>
    <hyperlink ref="N25" r:id="qaAuditLink24"/>
    <hyperlink ref="N26" r:id="qaAuditLink25"/>
    <hyperlink ref="N27" r:id="qaAuditLink26"/>
    <hyperlink ref="N28" r:id="qaAuditLink27"/>
    <hyperlink ref="N29" r:id="qaAuditLink28"/>
    <hyperlink ref="N30" r:id="qaAuditLink29"/>
    <hyperlink ref="N31" r:id="qaAuditLink30"/>
    <hyperlink ref="N32" r:id="qaAuditLink31"/>
    <hyperlink ref="N33" r:id="qaAuditLink32"/>
    <hyperlink ref="N34" r:id="qaAuditLink33"/>
    <hyperlink ref="N35" r:id="qaAuditLink34"/>
    <hyperlink ref="N36" r:id="qaAuditLink35"/>
    <hyperlink ref="N37" r:id="qaAuditLink36"/>
    <hyperlink ref="N38" r:id="qaAuditLink37"/>
    <hyperlink ref="N39" r:id="qaAuditLink38"/>
    <hyperlink ref="N40" r:id="qaAuditLink39"/>
  </hyperlinks>
  <pageMargins left="0.7" right="0.7" top="0.75" bottom="0.75" header="0.3" footer="0.3"/>
  <tableParts count="1">
    <tablePart r:id="R7df396db6379491d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0" hidden="0" customWidth="1"/>
    <col min="2" max="2" width="14" hidden="0" customWidth="1"/>
    <col min="3" max="3" width="48" hidden="0" customWidth="1"/>
    <col min="4" max="4" width="30" hidden="0" customWidth="1"/>
    <col min="5" max="5" width="80" hidden="0" customWidth="1"/>
    <col min="6" max="6" width="70" hidden="0" customWidth="1"/>
    <col min="7" max="7" width="80" hidden="0" customWidth="1"/>
    <col min="8" max="8" width="55" hidden="0" customWidth="1"/>
    <col min="9" max="9" width="65" hidden="0" customWidth="1"/>
    <col min="10" max="10" width="70" hidden="0" customWidth="1"/>
    <col min="11" max="11" width="65" hidden="0" customWidth="1"/>
    <col min="12" max="12" width="26" hidden="0" customWidth="1"/>
  </cols>
  <sheetData>
    <row r="1" ht="23" hidden="0" customHeight="1">
      <c r="A1" s="6" t="str">
        <v>ID</v>
      </c>
      <c r="B1" s="6" t="str">
        <v>Приоритет</v>
      </c>
      <c r="C1" s="6" t="str">
        <v>Название</v>
      </c>
      <c r="D1" s="6" t="str">
        <v>Решение</v>
      </c>
      <c r="E1" s="6" t="str">
        <v>Факт</v>
      </c>
      <c r="F1" s="6" t="str">
        <v>Ожидание</v>
      </c>
      <c r="G1" s="6" t="str">
        <v>Воспроизведение</v>
      </c>
      <c r="H1" s="6" t="str">
        <v>Роль / URL / дата</v>
      </c>
      <c r="I1" s="6" t="str">
        <v>Доказательства</v>
      </c>
      <c r="J1" s="6" t="str">
        <v>Критерии исправления</v>
      </c>
      <c r="K1" s="6" t="str">
        <v>Границы</v>
      </c>
      <c r="L1" s="6" t="str">
        <v>Открыть</v>
      </c>
    </row>
    <row r="2" ht="113.5999984741211" hidden="0" customHeight="1">
      <c r="A2" s="3" t="str">
        <v>CC-F01</v>
      </c>
      <c r="B2" s="3" t="str">
        <v>P1</v>
      </c>
      <c r="C2" s="3" t="str">
        <v>Первоначальный запрос объявлен согласием на платную консультацию</v>
      </c>
      <c r="D2" s="3" t="str">
        <v>Найден текущий дефект; причинная регрессия относительно предыдущей сборки не заявляется.</v>
      </c>
      <c r="E2" s="3" t="str">
        <v>Панель: A client request is consent..., required balance to request or accept 30 credits; основной запрос не обозначен бесплатным. Копия панели и компактная панель показаны одновременно.
Без предложения и checkbox сервер создал session #26, оператор видит Готов к подключению и Start client-requested consultation. Баланс 8546.00 не изменился.
Принять предложение сразу переводит session в Готов к подключению, checkbox отсутствует; промежуточного просмотра существенных условий нет. Списание не началось, 8536.00.</v>
      </c>
      <c r="F2" s="3" t="str">
        <v>Бесплатный первичный запрос; отдельное согласие на предложение, RU-текст
Только бесплатный запрос; ожидание предложения с отдельным принятием условий
Рассмотреть открывает условия; требуется отдельный checkbox и явное принятие</v>
      </c>
      <c r="G2" s="3" t="str">
        <v>Открыть условия до запроса
Клиент нажимает первичный Request paid consultation в диалоге #56
Оператор Offer; клиент Принять предложение</v>
      </c>
      <c r="H2" s="3" t="str">
        <v>Клиент #189
https://confideline.com/ru/messages
2026-10-28T14:45:19.486Z</v>
      </c>
      <c r="I2" s="3" t="str">
        <v>5 файлов. Основное: evidence/originals/client-terms-before.jpg
Полный список: лист Источники</v>
      </c>
      <c r="J2" s="3" t="str">
        <v>Бесплатный первичный запрос; отдельное согласие на предложение, RU-текст
Только бесплатный запрос; ожидание предложения с отдельным принятием условий
Рассмотреть открывает условия; требуется отдельный checkbox и явное принятие</v>
      </c>
      <c r="K2" s="3" t="str">
        <v>Клиентская роль подтверждена отдельно. Источник требований — переданный пакет и поздние решения владельца. Не заявляется изменение боевого CSS/кода или серверная первопричина.</v>
      </c>
      <c r="L2" s="3" t="str">
        <v>Доказательство</v>
      </c>
    </row>
    <row r="3" ht="60.79999923706055" hidden="0" customHeight="1">
      <c r="A3" s="3" t="str">
        <v>CC-F02</v>
      </c>
      <c r="B3" s="3" t="str">
        <v>P2</v>
      </c>
      <c r="C3" s="3" t="str">
        <v>Выбранный эмодзи не добавляется в свободный редактор</v>
      </c>
      <c r="D3" s="3" t="str">
        <v>Найден текущий дефект; причинная регрессия относительно предыдущей сборки не заявляется.</v>
      </c>
      <c r="E3" s="3" t="str">
        <v>Палитра закрывается, но поле остаётся ровно QA-CHAT-20261028-R1-EMOJI: без 😀. Проверено изолированно, незавершённых Send нет. Раннее предположение о неработающей цитате отозвано: CHAT-QUOTE-01 подтверждает её работу.</v>
      </c>
      <c r="F3" s="3" t="str">
        <v>К тексту добавляется выбранный emoji</v>
      </c>
      <c r="G3" s="3" t="str">
        <v>В свободном редакторе ввести EMOJI-префикс → Emoji → 😀 → отдельный readback</v>
      </c>
      <c r="H3" s="3" t="str">
        <v>Клиент #189
https://confideline.com/ru/messages
2026-10-28T15:02:42.827Z</v>
      </c>
      <c r="I3" s="3" t="str">
        <v>2 файлов. Основное: evidence/originals/chat-emoji-isolated.jpg
Полный список: лист Источники</v>
      </c>
      <c r="J3" s="3" t="str">
        <v>К тексту добавляется выбранный emoji</v>
      </c>
      <c r="K3" s="3" t="str">
        <v>Клиентская роль подтверждена отдельно. Источник требований — переданный пакет и поздние решения владельца. Не заявляется изменение боевого CSS/кода или серверная первопричина.</v>
      </c>
      <c r="L3" s="3" t="str">
        <v>Доказательство</v>
      </c>
    </row>
    <row r="4" ht="60.79999923706055" hidden="0" customHeight="1">
      <c r="A4" s="3" t="str">
        <v>CC-F04</v>
      </c>
      <c r="B4" s="3" t="str">
        <v>P2</v>
      </c>
      <c r="C4" s="3" t="str">
        <v>Открытые условия дублируют компактную панель тарифа</v>
      </c>
      <c r="D4" s="3" t="str">
        <v>Найден текущий дефект; причинная регрессия относительно предыдущей сборки не заявляется.</v>
      </c>
      <c r="E4" s="3" t="str">
        <v>Полная панель условий и компактная панель тарифа одновременно присутствуют на обоих размерах.</v>
      </c>
      <c r="F4" s="3" t="str">
        <v>При открытых условиях компактная тарифная панель скрыта согласно TZ</v>
      </c>
      <c r="G4" s="3" t="str">
        <v>Условия на 360 и 1280px</v>
      </c>
      <c r="H4" s="3" t="str">
        <v>Клиент #189
https://confideline.com/ru/messages
2026-10-28T15:08:09.955Z</v>
      </c>
      <c r="I4" s="3" t="str">
        <v>3 файлов. Основное: evidence/originals/chat-terms-360.png
Полный список: лист Источники</v>
      </c>
      <c r="J4" s="3" t="str">
        <v>При открытых условиях компактная тарифная панель скрыта согласно TZ</v>
      </c>
      <c r="K4" s="3" t="str">
        <v>Клиентская роль подтверждена отдельно. Источник требований — переданный пакет и поздние решения владельца. Не заявляется изменение боевого CSS/кода или серверная первопричина.</v>
      </c>
      <c r="L4" s="3" t="str">
        <v>Доказательство</v>
      </c>
    </row>
    <row r="5" ht="60.79999923706055" hidden="0" customHeight="1">
      <c r="A5" s="3" t="str">
        <v>CC-F05</v>
      </c>
      <c r="B5" s="3" t="str">
        <v>P2</v>
      </c>
      <c r="C5" s="3" t="str">
        <v>Placeholder пустого редактора обрезан на 360 px</v>
      </c>
      <c r="D5" s="3" t="str">
        <v>Найден текущий дефект; причинная регрессия относительно предыдущей сборки не заявляется.</v>
      </c>
      <c r="E5" s="3" t="str">
        <v>Пустой placeholder Введите ваше сообщение... переносится на вторую обрезанную строку; внутри пустого поля видна прокрутка.</v>
      </c>
      <c r="F5" s="3" t="str">
        <v>Placeholder/текст редактора читаем, без внутренней обрезки пустого поля</v>
      </c>
      <c r="G5" s="3" t="str">
        <v>Открыть диалог при 360 CSS px</v>
      </c>
      <c r="H5" s="3" t="str">
        <v>Клиент #189
https://confideline.com/ru/messages
2026-10-28T15:08:09.959Z</v>
      </c>
      <c r="I5" s="3" t="str">
        <v>2 файлов. Основное: evidence/originals/chat-thread-360.png
Полный список: лист Источники</v>
      </c>
      <c r="J5" s="3" t="str">
        <v>Placeholder/текст редактора читаем, без внутренней обрезки пустого поля</v>
      </c>
      <c r="K5" s="3" t="str">
        <v>Клиентская роль подтверждена отдельно. Источник требований — переданный пакет и поздние решения владельца. Не заявляется изменение боевого CSS/кода или серверная первопричина.</v>
      </c>
      <c r="L5" s="3" t="str">
        <v>Доказательство</v>
      </c>
    </row>
    <row r="6" ht="60.79999923706055" hidden="0" customHeight="1">
      <c r="A6" s="3" t="str">
        <v>CC-F06</v>
      </c>
      <c r="B6" s="3" t="str">
        <v>P2</v>
      </c>
      <c r="C6" s="3" t="str">
        <v>Существенные условия и действия RU-чата на английском</v>
      </c>
      <c r="D6" s="3" t="str">
        <v>Найден текущий дефект; причинная регрессия относительно предыдущей сборки не заявляется.</v>
      </c>
      <c r="E6" s="3" t="str">
        <v>Search contact, Unread, Consultation details, Request paid consultation, Drafts..., Photos and documents и существенные условия остаются на английском.</v>
      </c>
      <c r="F6" s="3" t="str">
        <v>Подписи соответствуют RU-макету поставки</v>
      </c>
      <c r="G6" s="3" t="str">
        <v>Открыть RU-чат, список, условия, файлы</v>
      </c>
      <c r="H6" s="3" t="str">
        <v>Клиент #189
https://confideline.com/ru/messages
2026-10-28T15:08:20.657Z</v>
      </c>
      <c r="I6" s="3" t="str">
        <v>3 файлов. Основное: evidence/originals/client-terms-before.jpg
Полный список: лист Источники</v>
      </c>
      <c r="J6" s="3" t="str">
        <v>Подписи соответствуют RU-макету поставки</v>
      </c>
      <c r="K6" s="3" t="str">
        <v>Клиентская роль подтверждена отдельно. Источник требований — переданный пакет и поздние решения владельца. Не заявляется изменение боевого CSS/кода или серверная первопричина.</v>
      </c>
      <c r="L6" s="3" t="str">
        <v>Доказательство</v>
      </c>
    </row>
    <row r="7" ht="74" hidden="0" customHeight="1">
      <c r="A7" s="3" t="str">
        <v>CC-F07</v>
      </c>
      <c r="B7" s="3" t="str">
        <v>P2</v>
      </c>
      <c r="C7" s="3" t="str">
        <v>Рейтинг только в профиле эксперта</v>
      </c>
      <c r="D7" s="3" t="str">
        <v>Замечание по снимку и решению владельца; исправление сайта не подтверждено.</v>
      </c>
      <c r="E7" s="3" t="str">
        <v>На предоставленном Алексеем снимке /ru/messages?contactId=103 рейтинг Solara Ortiz виден в списке и шапке. Область исправления уточнена владельцем: убрать из всего чата. Новый live-readback не выполнен; время съёмки неизвестно.</v>
      </c>
      <c r="F7" s="3" t="str">
        <v>Рейтинг (звёзды, средняя оценка, число голосов/отзывов) только в профиле эксперта; во всём чате, включая список и шапку, отсутствует. Избранное и действие оценки завершённого сеанса сохраняются; пустого отступа нет.</v>
      </c>
      <c r="G7" s="3" t="str">
        <v>Открыть клиентский чат и проверить указанные области по решению владельца.</v>
      </c>
      <c r="H7" s="3" t="str">
        <v>Клиент
https://confideline.com/ru/messages?contactId=103
</v>
      </c>
      <c r="I7" s="3" t="str">
        <v>1 файлов. Основное: evidence/originals/owner-rating-chat.png
Полный список: лист Источники</v>
      </c>
      <c r="J7" s="3" t="str">
        <v>Рейтинг отсутствует во всех областях чата, включая список и шапку.
Рейтинг доступен только в профиле нужного эксперта.
Избранное и оценка завершённой консультации сохранены.
Нет пустой строки; поиск, фильтры, обновления и узкая вёрстка не возвращают рейтинг.</v>
      </c>
      <c r="K7" s="3" t="str">
        <v>Предоставленный снимок владельца; время съёмки неизвестно, нового live-теста нет.</v>
      </c>
      <c r="L7" s="3" t="str">
        <v>Доказательство</v>
      </c>
    </row>
  </sheetData>
  <hyperlinks>
    <hyperlink ref="L2" r:id="qaAuditLink1"/>
    <hyperlink ref="L3" r:id="qaAuditLink2"/>
    <hyperlink ref="L4" r:id="qaAuditLink3"/>
    <hyperlink ref="L5" r:id="qaAuditLink4"/>
    <hyperlink ref="L6" r:id="qaAuditLink5"/>
    <hyperlink ref="L7" r:id="qaAuditLink6"/>
  </hyperlinks>
  <pageMargins left="0.7" right="0.7" top="0.75" bottom="0.75" header="0.3" footer="0.3"/>
  <tableParts count="1">
    <tablePart r:id="R6e675b2ef43f451c"/>
  </tableParts>
</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50" hidden="0" customWidth="1"/>
    <x:col min="3" max="3" width="90" hidden="0" customWidth="1"/>
    <x:col min="4" max="4" width="90" hidden="0" customWidth="1"/>
    <x:col min="5" max="5" width="75" hidden="0" customWidth="1"/>
    <x:col min="6" max="6" width="28" hidden="0" customWidth="1"/>
  </x:cols>
  <x:sheetData>
    <x:row r="1" ht="23" hidden="0" customHeight="1">
      <x:c r="A1" s="6" t="str">
        <x:v>ID</x:v>
      </x:c>
      <x:c r="B1" s="6" t="str">
        <x:v>Непроверенный критерий</x:v>
      </x:c>
      <x:c r="C1" s="6" t="str">
        <x:v>Точная причина / что известно</x:v>
      </x:c>
      <x:c r="D1" s="6" t="str">
        <x:v>Следующий шаг</x:v>
      </x:c>
      <x:c r="E1" s="6" t="str">
        <x:v>Источник</x:v>
      </x:c>
      <x:c r="F1" s="6" t="str">
        <x:v>Ответственный</x:v>
      </x:c>
    </x:row>
    <x:row r="2" ht="34.400001525878906" hidden="0" customHeight="1">
      <x:c r="A2" s="3" t="str">
        <x:v>CHAT-TRIAL-01</x:v>
      </x:c>
      <x:c r="B2" s="3" t="str">
        <x:v>Пробные минуты и переход к платной части</x:v>
      </x:c>
      <x:c r="C2" s="3" t="str">
        <x:v>У клиента #189 сервер показывает No trial minutes remain. Не пополнялись trial и не менялись настройки/права.</x:v>
      </x:c>
      <x:c r="D2" s="3" t="str">
        <x:v>Игорь: подготовить существующий тестовый аккаунт с остатком trial; Codex: пройти две стороны.</x:v>
      </x:c>
      <x:c r="E2" s="3" t="str">
        <x:v>sources/TZ.md</x:v>
      </x:c>
      <x:c r="F2" s="3" t="str">
        <x:v>Тестер Codex</x:v>
      </x:c>
    </x:row>
    <x:row r="3" ht="34.400001525878906" hidden="0" customHeight="1">
      <x:c r="A3" s="3" t="str">
        <x:v>CHAT-LOW-BALANCE-01</x:v>
      </x:c>
      <x:c r="B3" s="3" t="str">
        <x:v>Недостаточный баланс и пополнение в sandbox</x:v>
      </x:c>
      <x:c r="C3" s="3" t="str">
        <x:v>Клиент #189 имеет положительный баланс. Реальная покупка, обнуление кошелька и изменение прав ради fixture не выполнялись.</x:v>
      </x:c>
      <x:c r="D3" s="3" t="str">
        <x:v>Игорь: дать разрешённый low-balance fixture и явно видимый Stripe test; Codex: проверить отказ/возврат.</x:v>
      </x:c>
      <x:c r="E3" s="3" t="str">
        <x:v>sources/TZ.md</x:v>
      </x:c>
      <x:c r="F3" s="3" t="str">
        <x:v>Тестер Codex</x:v>
      </x:c>
    </x:row>
    <x:row r="4" ht="23" hidden="0" customHeight="1">
      <x:c r="A4" s="3" t="str">
        <x:v>CHAT-OFFER-EXPIRY-01</x:v>
      </x:c>
      <x:c r="B4" s="3" t="str">
        <x:v>Истечение/обновление предложения и сброс согласия</x:v>
      </x:c>
      <x:c r="C4" s="3" t="str">
        <x:v>Не изменялись часы, тарифы, TTL или серверные события. Новая цена/истечение не воспроизведены.</x:v>
      </x:c>
      <x:c r="D4" s="3" t="str">
        <x:v>Игорь: дать управляемые short-TTL/changed-offer fixtures; Codex: проверить обе стороны.</x:v>
      </x:c>
      <x:c r="E4" s="3" t="str">
        <x:v>sources/TZ.md</x:v>
      </x:c>
      <x:c r="F4" s="3" t="str">
        <x:v>Тестер Codex</x:v>
      </x:c>
    </x:row>
    <x:row r="5" ht="34.400001525878906" hidden="0" customHeight="1">
      <x:c r="A5" s="3" t="str">
        <x:v>CHAT-RACE-01</x:v>
      </x:c>
      <x:c r="B5" s="3" t="str">
        <x:v>Конкурирующие старты/завершения и серверная идемпотентность</x:v>
      </x:c>
      <x:c r="C5" s="3" t="str">
        <x:v>UI-retry одного сообщения проверен; гонки финансовых команд и server-side replay не выполнялись и этим не доказаны.</x:v>
      </x:c>
      <x:c r="D5" s="3" t="str">
        <x:v>Игорь: предоставить изолированный серверный сценарий по регламенту; Codex: сопоставить ledger.</x:v>
      </x:c>
      <x:c r="E5" s="3" t="str">
        <x:v>sources/TZ.md</x:v>
      </x:c>
      <x:c r="F5" s="3" t="str">
        <x:v>Тестер Codex</x:v>
      </x:c>
    </x:row>
    <x:row r="6" ht="34.400001525878906" hidden="0" customHeight="1">
      <x:c r="A6" s="3" t="str">
        <x:v>CHAT-ACL-01</x:v>
      </x:c>
      <x:c r="B6" s="3" t="str">
        <x:v>Запрет чужих вложений/сессий</x:v>
      </x:c>
      <x:c r="C6" s="3" t="str">
        <x:v>Положительные роли и приватность support note проверены. Отрицательный контроль другим клиентом и прямой URL чужой тестовой записи не выполнен.</x:v>
      </x:c>
      <x:c r="D6" s="3" t="str">
        <x:v>Игорь: дать второй ограниченный аккаунт и его разрешённую контрольную запись; Codex: проверить 403/404.</x:v>
      </x:c>
      <x:c r="E6" s="3" t="str">
        <x:v>sources/TZ.md</x:v>
      </x:c>
      <x:c r="F6" s="3" t="str">
        <x:v>Тестер Codex</x:v>
      </x:c>
    </x:row>
    <x:row r="7" ht="23" hidden="0" customHeight="1">
      <x:c r="A7" s="3" t="str">
        <x:v>CHAT-DEVICE-01</x:v>
      </x:c>
      <x:c r="B7" s="3" t="str">
        <x:v>Физические iPhone и Android</x:v>
      </x:c>
      <x:c r="C7" s="3" t="str">
        <x:v>Выполнены CSS viewport 360/480/768/992/1280 при scale=1; физические телефоны не подключены.</x:v>
      </x:c>
      <x:c r="D7" s="3" t="str">
        <x:v>Codex: выполнить на доступных реальных iPhone/Android; CSS-размеры не повышать до device PASS.</x:v>
      </x:c>
      <x:c r="E7" s="3" t="str">
        <x:v>sources/TZ.md</x:v>
      </x:c>
      <x:c r="F7" s="3" t="str">
        <x:v>Тестер Codex</x:v>
      </x:c>
    </x:row>
    <x:row r="8" ht="34.400001525878906" hidden="0" customHeight="1">
      <x:c r="A8" s="3" t="str">
        <x:v>CHAT-DELETE-FINAL-01</x:v>
      </x:c>
      <x:c r="B8" s="3" t="str">
        <x:v>Окончательное удаление и серверное сохранение</x:v>
      </x:c>
      <x:c r="C8" s="3" t="str">
        <x:v>Проверены только подтверждение и отмена. Старая тестовая история #56/#57 не удалялась.</x:v>
      </x:c>
      <x:c r="D8" s="3" t="str">
        <x:v>Подготовить отдельный disposable-диалог и применимый допуск финального удаления; затем проверить readback.</x:v>
      </x:c>
      <x:c r="E8" s="3" t="str">
        <x:v>sources/TZ.md</x:v>
      </x:c>
      <x:c r="F8" s="3" t="str">
        <x:v>Тестер Codex</x:v>
      </x:c>
    </x:row>
    <x:row r="9" ht="34.400001525878906" hidden="0" customHeight="1">
      <x:c r="A9" s="3" t="str">
        <x:v>CHAT-POLICY-01</x:v>
      </x:c>
      <x:c r="B9" s="3" t="str">
        <x:v>Серверные отказы файлов и работа в долгом офлайне</x:v>
      </x:c>
      <x:c r="C9" s="3" t="str">
        <x:v>Проверены видимые клиентские лимиты и один контролируемый offline/retry; HTTP bypass и длительные сетевые гонки не выполнялись.</x:v>
      </x:c>
      <x:c r="D9" s="3" t="str">
        <x:v>Игорь: предоставить штатный изолированный server QA путь, без обхода защиты.</x:v>
      </x:c>
      <x:c r="E9" s="3" t="str">
        <x:v>sources/TZ.md</x:v>
      </x:c>
      <x:c r="F9" s="3" t="str">
        <x:v>Тестер Codex</x:v>
      </x:c>
    </x:row>
    <x:row r="10" ht="34.400001525878906" hidden="0" customHeight="1">
      <x:c r="A10" s="3" t="str">
        <x:v>CHAT-PRESENCE-01</x:v>
      </x:c>
      <x:c r="B10" s="3" t="str">
        <x:v>Три состояния индикатора эксперта</x:v>
      </x:c>
      <x:c r="C10" s="3" t="str">
        <x:v>Решение владельца включено в R2; три состояния и переходы после внедрения не проверялись. Двоичная точка не доказывает трёхцветную реализацию.</x:v>
      </x:c>
      <x:c r="D10" s="3" t="str">
        <x:v>Игорь: внедрить единый трёхцветный статус; Codex: проверить состояния/переходы, RU/EN и синхронность списка с шапкой.</x:v>
      </x:c>
      <x:c r="E10" s="3" t="str">
        <x:v>sources/OWNER-DECISIONS-20261028.md</x:v>
      </x:c>
      <x:c r="F10" s="3" t="str">
        <x:v>Игорь — внедрение; Codex — проверка</x:v>
      </x:c>
    </x:row>
    <x:row r="11" ht="34.400001525878906" hidden="0" customHeight="1">
      <x:c r="A11" s="3" t="str">
        <x:v>CHAT-PAID-AVAIL-01</x:v>
      </x:c>
      <x:c r="B11" s="3" t="str">
        <x:v>Запрет новой платной консультации при занятости/оффлайне</x:v>
      </x:c>
      <x:c r="C11" s="3" t="str">
        <x:v>Скрытие кнопки, оффлайн и гонка статуса по новому правилу владельца не проверялись. Прежний CHAT-PAID-BUSY-01 PASS подтверждает только наблюдавшийся 409 без нового старта/дебета.</x:v>
      </x:c>
      <x:c r="D11" s="3" t="str">
        <x:v>Игорь: внедрить UI- и серверное ограничение; Codex: проверить busy/offline, смену статуса до подтверждения, два клиента, отсутствие списания и сохранение управления текущим сеансом.</x:v>
      </x:c>
      <x:c r="E11" s="3" t="str">
        <x:v>sources/OWNER-DECISIONS-20261028.md</x:v>
      </x:c>
      <x:c r="F11" s="3" t="str">
        <x:v>Игорь — внедрение; Codex — проверка</x:v>
      </x:c>
    </x:row>
  </x:sheetData>
  <x:pageMargins left="0.7" right="0.7" top="0.75" bottom="0.75" header="0.3" footer="0.3"/>
  <x:tableParts count="1">
    <x:tablePart xmlns:r="http://schemas.openxmlformats.org/officeDocument/2006/relationships" r:id="Rc132aae6bcd843f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0" hidden="0" customWidth="1"/>
    <x:col min="3" max="3" width="48" hidden="0" customWidth="1"/>
    <x:col min="4" max="4" width="90" hidden="0" customWidth="1"/>
    <x:col min="5" max="5" width="78" hidden="0" customWidth="1"/>
  </x:cols>
  <x:sheetData>
    <x:row r="1" ht="23" hidden="0" customHeight="1">
      <x:c r="A1" s="6" t="str">
        <x:v>ID</x:v>
      </x:c>
      <x:c r="B1" s="6" t="str">
        <x:v>Статус</x:v>
      </x:c>
      <x:c r="C1" s="6" t="str">
        <x:v>Предмет</x:v>
      </x:c>
      <x:c r="D1" s="6" t="str">
        <x:v>Подтверждённый факт / границы</x:v>
      </x:c>
      <x:c r="E1" s="6" t="str">
        <x:v>Решение / следующий шаг</x:v>
      </x:c>
    </x:row>
    <x:row r="2" ht="47.599998474121094" hidden="0" customHeight="1">
      <x:c r="A2" s="3" t="str">
        <x:v>CHAT-RATING-01</x:v>
      </x:c>
      <x:c r="B2" s="3" t="str">
        <x:v>Решение владельца</x:v>
      </x:c>
      <x:c r="C2" s="3" t="str">
        <x:v>Рейтинг только в профиле эксперта</x:v>
      </x:c>
      <x:c r="D2" s="3" t="str">
        <x:v>Рейтинг (звёзды, средняя оценка, число голосов/отзывов) только в профиле эксперта; во всём чате, включая список и шапку, отсутствует. Избранное и действие оценки завершённого сеанса сохраняются; пустого отступа нет.</x:v>
      </x:c>
      <x:c r="E2" s="3" t="str">
        <x:v>Игорь: убрать рейтинг из чата; Codex: проверить список/шапку, фильтры, поиск, обновления, переход в профиль, избранное и узкую вёрстку.</x:v>
      </x:c>
    </x:row>
    <x:row r="3" ht="34.400001525878906" hidden="0" customHeight="1">
      <x:c r="A3" s="3" t="str">
        <x:v>CHAT-PRESENCE-01</x:v>
      </x:c>
      <x:c r="B3" s="3" t="str">
        <x:v>Решение владельца</x:v>
      </x:c>
      <x:c r="C3" s="3" t="str">
        <x:v>Три состояния индикатора эксперта</x:v>
      </x:c>
      <x:c r="D3" s="3" t="str">
        <x:v>Единый актуальный статус в списке и шапке: зелёный В сети / Online, жёлтый Занят / Busy, серый Не в сети / Offline. Существующие стили, текстовая расшифровка и доступное имя сохранены.</x:v>
      </x:c>
      <x:c r="E3" s="3" t="str">
        <x:v>Игорь: внедрить единый трёхцветный статус; Codex: проверить состояния/переходы, RU/EN и синхронность списка с шапкой.</x:v>
      </x:c>
    </x:row>
    <x:row r="4" ht="47.599998474121094" hidden="0" customHeight="1">
      <x:c r="A4" s="3" t="str">
        <x:v>CHAT-PAID-AVAIL-01</x:v>
      </x:c>
      <x:c r="B4" s="3" t="str">
        <x:v>Решение владельца</x:v>
      </x:c>
      <x:c r="C4" s="3" t="str">
        <x:v>Запрет новой платной консультации при занятости/оффлайне</x:v>
      </x:c>
      <x:c r="D4" s="3" t="str">
        <x:v>При занятости/оффлайне кнопки нового запроса/начала нет, в том числе в Tab-порядке. Сервер проверяет доступность до начала/первого списания: при устаревшем статусе нет нового сеанса/дебета. Статус и кнопка обновляются вместе; управление текущим сеансом сохраняется.</x:v>
      </x:c>
      <x:c r="E4" s="3" t="str">
        <x:v>Игорь: внедрить UI- и серверное ограничение; Codex: проверить busy/offline, смену статуса до подтверждения, два клиента, отсутствие списания и сохранение управления текущим сеансом.</x:v>
      </x:c>
    </x:row>
  </x:sheetData>
  <x:pageMargins left="0.7" right="0.7" top="0.75" bottom="0.75" header="0.3" footer="0.3"/>
  <x:tableParts count="1">
    <x:tablePart xmlns:r="http://schemas.openxmlformats.org/officeDocument/2006/relationships" r:id="R89e67058eeca4141"/>
  </x:tableParts>
</x: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85" hidden="0" customWidth="1"/>
    <col min="2" max="2" width="70" hidden="0" customWidth="1"/>
    <col min="3" max="3" width="75" hidden="0" customWidth="1"/>
    <col min="4" max="4" width="52" hidden="0" customWidth="1"/>
    <col min="5" max="5" width="20" hidden="0" customWidth="1"/>
  </cols>
  <sheetData>
    <row r="1" ht="23" hidden="0" customHeight="1">
      <c r="A1" s="6" t="str">
        <v>Путь</v>
      </c>
      <c r="B1" s="6" t="str">
        <v>SHA-256</v>
      </c>
      <c r="C1" s="6" t="str">
        <v>Назначение</v>
      </c>
      <c r="D1" s="6" t="str">
        <v>Связанные ID</v>
      </c>
      <c r="E1" s="6" t="str">
        <v>Открыть</v>
      </c>
    </row>
    <row r="2" ht="23" hidden="0" customHeight="1">
      <c r="A2" s="3" t="str">
        <v>sources/builder-adaptation.json</v>
      </c>
      <c r="B2" s="3" t="str">
        <v>ed08eb08c590e998a4ab8a6e63e391cab961666bfbad1b984f3d88dd611cc568</v>
      </c>
      <c r="C2" s="3" t="str">
        <v>Требование / документарный источник; не свежий runtime PASS</v>
      </c>
      <c r="D2" s="3" t="str"/>
      <c r="E2" s="3" t="str">
        <v>Открыть</v>
      </c>
    </row>
    <row r="3" ht="23" hidden="0" customHeight="1">
      <c r="A3" s="3" t="str">
        <v>sources/OWNER-DECISIONS-20261028.md</v>
      </c>
      <c r="B3" s="3" t="str">
        <v>6ef9847d781e952ddf958b4001cdf93f499453abb18af27d3f9ec3a3d446fe1c</v>
      </c>
      <c r="C3" s="3" t="str">
        <v>Требование / документарный источник; не свежий runtime PASS</v>
      </c>
      <c r="D3" s="3" t="str"/>
      <c r="E3" s="3" t="str">
        <v>Открыть</v>
      </c>
    </row>
    <row r="4" ht="23" hidden="0" customHeight="1">
      <c r="A4" s="3" t="str">
        <v>sources/owner-reference-profile-only.png</v>
      </c>
      <c r="B4" s="3" t="str">
        <v>10de8751d9370d8359d7629c04bc21f69885063e17525ce39767c3ce45aefc4c</v>
      </c>
      <c r="C4" s="3" t="str">
        <v>Требование / документарный источник; не свежий runtime PASS</v>
      </c>
      <c r="D4" s="3" t="str"/>
      <c r="E4" s="3" t="str">
        <v>Открыть</v>
      </c>
    </row>
    <row r="5" ht="23" hidden="0" customHeight="1">
      <c r="A5" s="3" t="str">
        <v>sources/PAID_SESSION_CONTRACT.md</v>
      </c>
      <c r="B5" s="3" t="str">
        <v>3d5a0a73cb435cc4421f0423dc884cff2ba98cdfcb4fa806421beffcfda5500a</v>
      </c>
      <c r="C5" s="3" t="str">
        <v>Требование / документарный источник; не свежий runtime PASS</v>
      </c>
      <c r="D5" s="3" t="str"/>
      <c r="E5" s="3" t="str">
        <v>Открыть</v>
      </c>
    </row>
    <row r="6" ht="23" hidden="0" customHeight="1">
      <c r="A6" s="3" t="str">
        <v>sources/QA-EXPERT-TESTING-STANDARD.md</v>
      </c>
      <c r="B6" s="3" t="str">
        <v>4b27a0067bdd5e4de5539d1ef85e68b22defa979e81cdf1f09fd9c0423b73abf</v>
      </c>
      <c r="C6" s="3" t="str">
        <v>Требование / документарный источник; не свежий runtime PASS</v>
      </c>
      <c r="D6" s="3" t="str"/>
      <c r="E6" s="3" t="str">
        <v>Открыть</v>
      </c>
    </row>
    <row r="7" ht="23" hidden="0" customHeight="1">
      <c r="A7" s="3" t="str">
        <v>sources/TZ.md</v>
      </c>
      <c r="B7" s="3" t="str">
        <v>427d140a533ed856036aec8b2e2c37822117fbdd405ecd6221e1bf7eeb586ea0</v>
      </c>
      <c r="C7" s="3" t="str">
        <v>Требование / документарный источник; не свежий runtime PASS</v>
      </c>
      <c r="D7" s="3" t="str"/>
      <c r="E7" s="3" t="str">
        <v>Открыть</v>
      </c>
    </row>
    <row r="8" ht="23" hidden="0" customHeight="1">
      <c r="A8" s="3" t="str">
        <v>evidence/originals/agent-login-identity.jpg</v>
      </c>
      <c r="B8" s="3" t="str">
        <v>c29027c17d36f30a44cbd5863a3966812d7c56c69ccf4e6ac1f02c70ecf0f8e0</v>
      </c>
      <c r="C8" s="3" t="str">
        <v>Доказательство текущего прохода</v>
      </c>
      <c r="D8" s="3" t="str">
        <v>CHAT-AUTH-01</v>
      </c>
      <c r="E8" s="3" t="str">
        <v>Открыть</v>
      </c>
    </row>
    <row r="9" ht="23" hidden="0" customHeight="1">
      <c r="A9" s="3" t="str">
        <v>evidence/originals/chat-delete-confirm.jpg</v>
      </c>
      <c r="B9" s="3" t="str">
        <v>8bab651f78afe820e10eefbec477fda6c5035b22dea73f993ca09fb6c04614a9</v>
      </c>
      <c r="C9" s="3" t="str">
        <v>Доказательство текущего прохода</v>
      </c>
      <c r="D9" s="3" t="str">
        <v>CHAT-DELETE-01</v>
      </c>
      <c r="E9" s="3" t="str">
        <v>Открыть</v>
      </c>
    </row>
    <row r="10" ht="23" hidden="0" customHeight="1">
      <c r="A10" s="3" t="str">
        <v>evidence/originals/chat-emoji-isolated.jpg</v>
      </c>
      <c r="B10" s="3" t="str">
        <v>e2e7e4677d0f69833e374c826cc72427af9a2a615c1b2af513f4a2920a87f836</v>
      </c>
      <c r="C10" s="3" t="str">
        <v>Доказательство текущего прохода</v>
      </c>
      <c r="D10" s="3" t="str">
        <v>CHAT-COMPOSER-02, CC-F02</v>
      </c>
      <c r="E10" s="3" t="str">
        <v>Открыть</v>
      </c>
    </row>
    <row r="11" ht="23" hidden="0" customHeight="1">
      <c r="A11" s="3" t="str">
        <v>evidence/originals/chat-list-360.png</v>
      </c>
      <c r="B11" s="3" t="str">
        <v>ce0cff6120996716d626f3de773868d2df576463553ed24de57ea50a16167129</v>
      </c>
      <c r="C11" s="3" t="str">
        <v>Доказательство текущего прохода</v>
      </c>
      <c r="D11" s="3" t="str">
        <v>CHAT-RESP-01</v>
      </c>
      <c r="E11" s="3" t="str">
        <v>Открыть</v>
      </c>
    </row>
    <row r="12" ht="23" hidden="0" customHeight="1">
      <c r="A12" s="3" t="str">
        <v>evidence/originals/chat-offline-unknown-retained.jpg</v>
      </c>
      <c r="B12" s="3" t="str">
        <v>d4675421945efa289ebb36ec9a1eadba45dc9c24c4a21a0659c297f34346d248</v>
      </c>
      <c r="C12" s="3" t="str">
        <v>Доказательство текущего прохода</v>
      </c>
      <c r="D12" s="3" t="str">
        <v>CHAT-NET-01</v>
      </c>
      <c r="E12" s="3" t="str">
        <v>Открыть</v>
      </c>
    </row>
    <row r="13" ht="23" hidden="0" customHeight="1">
      <c r="A13" s="3" t="str">
        <v>evidence/originals/chat-report-modal.jpg</v>
      </c>
      <c r="B13" s="3" t="str">
        <v>66df5307e21f4e601ed09adb70b4e920e1abf236f01714488064374f43e73763</v>
      </c>
      <c r="C13" s="3" t="str">
        <v>Доказательство текущего прохода</v>
      </c>
      <c r="D13" s="3" t="str">
        <v>CHAT-REPORT-01</v>
      </c>
      <c r="E13" s="3" t="str">
        <v>Открыть</v>
      </c>
    </row>
    <row r="14" ht="23" hidden="0" customHeight="1">
      <c r="A14" s="3" t="str">
        <v>evidence/originals/chat-terms-1280.png</v>
      </c>
      <c r="B14" s="3" t="str">
        <v>56eae16fa8844f9b37aa974b8e4a2e9073fb3597e4de9a6eed3e21cdc43804e0</v>
      </c>
      <c r="C14" s="3" t="str">
        <v>Доказательство текущего прохода</v>
      </c>
      <c r="D14" s="3" t="str">
        <v>CHAT-UI-01, CC-F04</v>
      </c>
      <c r="E14" s="3" t="str">
        <v>Открыть</v>
      </c>
    </row>
    <row r="15" ht="23" hidden="0" customHeight="1">
      <c r="A15" s="3" t="str">
        <v>evidence/originals/chat-terms-360.png</v>
      </c>
      <c r="B15" s="3" t="str">
        <v>014e08706197ba13c343b331a8b5d6b033e37c0f25addf2ea922e6053d72be79</v>
      </c>
      <c r="C15" s="3" t="str">
        <v>Доказательство текущего прохода</v>
      </c>
      <c r="D15" s="3" t="str">
        <v>CHAT-TERMS-02, CHAT-UI-01, CC-F04</v>
      </c>
      <c r="E15" s="3" t="str">
        <v>Открыть</v>
      </c>
    </row>
    <row r="16" ht="23" hidden="0" customHeight="1">
      <c r="A16" s="3" t="str">
        <v>evidence/originals/chat-thread-1280.png</v>
      </c>
      <c r="B16" s="3" t="str">
        <v>bbdc970aead5884c073a5559afa387c4a0ddaf3e443672f30b3e11b428bf5c75</v>
      </c>
      <c r="C16" s="3" t="str">
        <v>Доказательство текущего прохода</v>
      </c>
      <c r="D16" s="3" t="str">
        <v>CHAT-RESP-01</v>
      </c>
      <c r="E16" s="3" t="str">
        <v>Открыть</v>
      </c>
    </row>
    <row r="17" ht="23" hidden="0" customHeight="1">
      <c r="A17" s="3" t="str">
        <v>evidence/originals/chat-thread-360.png</v>
      </c>
      <c r="B17" s="3" t="str">
        <v>f53905362ef43542423ede392c76933780bc6e21c652556628309d335a4c53c3</v>
      </c>
      <c r="C17" s="3" t="str">
        <v>Доказательство текущего прохода</v>
      </c>
      <c r="D17" s="3" t="str">
        <v>CHAT-UI-02, CHAT-RESP-01, CC-F05</v>
      </c>
      <c r="E17" s="3" t="str">
        <v>Открыть</v>
      </c>
    </row>
    <row r="18" ht="23" hidden="0" customHeight="1">
      <c r="A18" s="3" t="str">
        <v>evidence/originals/chat-thread-480.png</v>
      </c>
      <c r="B18" s="3" t="str">
        <v>2c478ade200444d78a1a1dc0783badea5a3a9c0b76ff311790aa8ab6e053d669</v>
      </c>
      <c r="C18" s="3" t="str">
        <v>Доказательство текущего прохода</v>
      </c>
      <c r="D18" s="3" t="str">
        <v>CHAT-RESP-01</v>
      </c>
      <c r="E18" s="3" t="str">
        <v>Открыть</v>
      </c>
    </row>
    <row r="19" ht="23" hidden="0" customHeight="1">
      <c r="A19" s="3" t="str">
        <v>evidence/originals/chat-thread-768.png</v>
      </c>
      <c r="B19" s="3" t="str">
        <v>796d1ec3f4558b450233007903a0e68e78275d629b115cc9f500e790dd4339f2</v>
      </c>
      <c r="C19" s="3" t="str">
        <v>Доказательство текущего прохода</v>
      </c>
      <c r="D19" s="3" t="str">
        <v>CHAT-RESP-01</v>
      </c>
      <c r="E19" s="3" t="str">
        <v>Открыть</v>
      </c>
    </row>
    <row r="20" ht="23" hidden="0" customHeight="1">
      <c r="A20" s="3" t="str">
        <v>evidence/originals/chat-thread-992.png</v>
      </c>
      <c r="B20" s="3" t="str">
        <v>3054edbe655c116a8db3abc97de73b78ae46dd1cdf91f9184f1ce6192bc9edc6</v>
      </c>
      <c r="C20" s="3" t="str">
        <v>Доказательство текущего прохода</v>
      </c>
      <c r="D20" s="3" t="str">
        <v>CHAT-RU-01, CHAT-RESP-01, CC-F06</v>
      </c>
      <c r="E20" s="3" t="str">
        <v>Открыть</v>
      </c>
    </row>
    <row r="21" ht="23" hidden="0" customHeight="1">
      <c r="A21" s="3" t="str">
        <v>evidence/originals/chat-total-limit.jpg</v>
      </c>
      <c r="B21" s="3" t="str">
        <v>5b25ae3cf1f255a916fa0209bb05d6b3b9949e25cb1194bb0a3d1799e1eb1038</v>
      </c>
      <c r="C21" s="3" t="str">
        <v>Доказательство текущего прохода</v>
      </c>
      <c r="D21" s="3" t="str">
        <v>CHAT-FILE-LIMIT-01</v>
      </c>
      <c r="E21" s="3" t="str">
        <v>Открыть</v>
      </c>
    </row>
    <row r="22" ht="23" hidden="0" customHeight="1">
      <c r="A22" s="3" t="str">
        <v>evidence/originals/client-login-identity.jpg</v>
      </c>
      <c r="B22" s="3" t="str">
        <v>c0e3a37f64c59642508fb254c60e8a0e3834cae27da089c80ecfa909b1d39c80</v>
      </c>
      <c r="C22" s="3" t="str">
        <v>Доказательство текущего прохода</v>
      </c>
      <c r="D22" s="3" t="str">
        <v>CHAT-AUTH-01</v>
      </c>
      <c r="E22" s="3" t="str">
        <v>Открыть</v>
      </c>
    </row>
    <row r="23" ht="23" hidden="0" customHeight="1">
      <c r="A23" s="3" t="str">
        <v>evidence/originals/client-message-delivery.jpg</v>
      </c>
      <c r="B23" s="3" t="str">
        <v>a31274214e76598cb7e7a3c901c43608705072805046d7058297993af7a1fff0</v>
      </c>
      <c r="C23" s="3" t="str">
        <v>Доказательство текущего прохода</v>
      </c>
      <c r="D23" s="3" t="str">
        <v>CHAT-MSG-01</v>
      </c>
      <c r="E23" s="3" t="str">
        <v>Открыть</v>
      </c>
    </row>
    <row r="24" ht="23" hidden="0" customHeight="1">
      <c r="A24" s="3" t="str">
        <v>evidence/originals/client-offer-direct-accept.jpg</v>
      </c>
      <c r="B24" s="3" t="str">
        <v>5d40f30287f29e49c364598a6b7e6853c098feb5c07bc7187f5710be34441c67</v>
      </c>
      <c r="C24" s="3" t="str">
        <v>Доказательство текущего прохода</v>
      </c>
      <c r="D24" s="3" t="str">
        <v>CHAT-PAID-04, CC-F01</v>
      </c>
      <c r="E24" s="3" t="str">
        <v>Открыть</v>
      </c>
    </row>
    <row r="25" ht="23" hidden="0" customHeight="1">
      <c r="A25" s="3" t="str">
        <v>evidence/originals/client-request-ready.jpg</v>
      </c>
      <c r="B25" s="3" t="str">
        <v>330d7cd2b0070801fbe516e971c7f0b202ca63fb54a93a0ec01f9607ddc08739</v>
      </c>
      <c r="C25" s="3" t="str">
        <v>Доказательство текущего прохода</v>
      </c>
      <c r="D25" s="3" t="str">
        <v>CHAT-PAID-01, CC-F01</v>
      </c>
      <c r="E25" s="3" t="str">
        <v>Открыть</v>
      </c>
    </row>
    <row r="26" ht="23" hidden="0" customHeight="1">
      <c r="A26" s="3" t="str">
        <v>evidence/originals/client-session-active.jpg</v>
      </c>
      <c r="B26" s="3" t="str">
        <v>2a1f458bd7ddcdaea06a7124035a0169348b185d8c07e7316df8dd6ea2f867bd</v>
      </c>
      <c r="C26" s="3" t="str">
        <v>Доказательство текущего прохода</v>
      </c>
      <c r="D26" s="3" t="str">
        <v>CHAT-PAID-02</v>
      </c>
      <c r="E26" s="3" t="str">
        <v>Открыть</v>
      </c>
    </row>
    <row r="27" ht="23" hidden="0" customHeight="1">
      <c r="A27" s="3" t="str">
        <v>evidence/originals/client-terms-before.jpg</v>
      </c>
      <c r="B27" s="3" t="str">
        <v>3b0b0be50741ab889e73ab8fdb48d9a03b0eb4ed792b61cc378e0f1e410c4d4f</v>
      </c>
      <c r="C27" s="3" t="str">
        <v>Доказательство текущего прохода</v>
      </c>
      <c r="D27" s="3" t="str">
        <v>CHAT-TERMS-01, CHAT-RU-01, CC-F01, CC-F06</v>
      </c>
      <c r="E27" s="3" t="str">
        <v>Открыть</v>
      </c>
    </row>
    <row r="28" ht="23" hidden="0" customHeight="1">
      <c r="A28" s="3" t="str">
        <v>evidence/originals/favorite-isolated-final.jpg</v>
      </c>
      <c r="B28" s="3" t="str">
        <v>906f7d1e7f07b20397936090fae512214670ba1ac64482f7c7f8cf01e3a5121c</v>
      </c>
      <c r="C28" s="3" t="str">
        <v>Доказательство текущего прохода</v>
      </c>
      <c r="D28" s="3" t="str">
        <v>CHAT-FAVORITE-01</v>
      </c>
      <c r="E28" s="3" t="str">
        <v>Открыть</v>
      </c>
    </row>
    <row r="29" ht="23" hidden="0" customHeight="1">
      <c r="A29" s="3" t="str">
        <v>evidence/originals/login-agent-12.json</v>
      </c>
      <c r="B29" s="3" t="str">
        <v>d9daa0bc722f02e1f5b38f78664ff07d1f466389ad13b7ba8b7dd5eb87a64ec4</v>
      </c>
      <c r="C29" s="3" t="str">
        <v>Доказательство текущего прохода</v>
      </c>
      <c r="D29" s="3" t="str">
        <v>CHAT-AUTH-01</v>
      </c>
      <c r="E29" s="3" t="str">
        <v>Открыть</v>
      </c>
    </row>
    <row r="30" ht="23" hidden="0" customHeight="1">
      <c r="A30" s="3" t="str">
        <v>evidence/originals/login-client-189.json</v>
      </c>
      <c r="B30" s="3" t="str">
        <v>4c91d7b8271c015de5f51901af508d0b1b223451acac4048369549b06db32a07</v>
      </c>
      <c r="C30" s="3" t="str">
        <v>Доказательство текущего прохода</v>
      </c>
      <c r="D30" s="3" t="str">
        <v>CHAT-AUTH-01</v>
      </c>
      <c r="E30" s="3" t="str">
        <v>Открыть</v>
      </c>
    </row>
    <row r="31" ht="23" hidden="0" customHeight="1">
      <c r="A31" s="3" t="str">
        <v>evidence/originals/mobile-width-confirmed.json</v>
      </c>
      <c r="B31" s="3" t="str">
        <v>3e578f9e5045ab1cbfcfc2c83a1dfec3aaa86631800480ee13375baa2becfc56</v>
      </c>
      <c r="C31" s="3" t="str">
        <v>Доказательство текущего прохода</v>
      </c>
      <c r="D31" s="3" t="str">
        <v>CHAT-RESP-01</v>
      </c>
      <c r="E31" s="3" t="str">
        <v>Открыть</v>
      </c>
    </row>
    <row r="32" ht="23" hidden="0" customHeight="1">
      <c r="A32" s="3" t="str">
        <v>evidence/originals/operator-billing-ledger-266.jpg</v>
      </c>
      <c r="B32" s="3" t="str">
        <v>0b6be42c34dcaada6b27223d5c8481fa00e4704f5a9e95e7c6c84cb80f579b62</v>
      </c>
      <c r="C32" s="3" t="str">
        <v>Доказательство текущего прохода</v>
      </c>
      <c r="D32" s="3" t="str">
        <v>CHAT-PAID-03</v>
      </c>
      <c r="E32" s="3" t="str">
        <v>Открыть</v>
      </c>
    </row>
    <row r="33" ht="23" hidden="0" customHeight="1">
      <c r="A33" s="3" t="str">
        <v>evidence/originals/operator-request-ready.jpg</v>
      </c>
      <c r="B33" s="3" t="str">
        <v>5a14fb66e971846af7fe01082c4822531bdfc8457e4275ea1ecb82a56e435d67</v>
      </c>
      <c r="C33" s="3" t="str">
        <v>Доказательство текущего прохода</v>
      </c>
      <c r="D33" s="3" t="str">
        <v>CHAT-PAID-01, CC-F01</v>
      </c>
      <c r="E33" s="3" t="str">
        <v>Открыть</v>
      </c>
    </row>
    <row r="34" ht="23" hidden="0" customHeight="1">
      <c r="A34" s="3" t="str">
        <v>evidence/originals/operator-session-paused.jpg</v>
      </c>
      <c r="B34" s="3" t="str">
        <v>b66cbdf6d5acfff41e09ac0b2696bf817a36932c0c7ec28a1a960ef03fbb8922</v>
      </c>
      <c r="C34" s="3" t="str">
        <v>Доказательство текущего прохода</v>
      </c>
      <c r="D34" s="3" t="str">
        <v>CHAT-PAID-02</v>
      </c>
      <c r="E34" s="3" t="str">
        <v>Открыть</v>
      </c>
    </row>
    <row r="35" ht="23" hidden="0" customHeight="1">
      <c r="A35" s="3" t="str">
        <v>evidence/originals/owner-rating-chat.png</v>
      </c>
      <c r="B35" s="3" t="str">
        <v>431a0a06ecfe73ea3bc404fc617fe3d91415162b76af7c2c15610224ca830a72</v>
      </c>
      <c r="C35" s="3" t="str">
        <v>Доказательство текущего прохода</v>
      </c>
      <c r="D35" s="3" t="str">
        <v>CHAT-RATING-01, CC-F07</v>
      </c>
      <c r="E35" s="3" t="str">
        <v>Открыть</v>
      </c>
    </row>
    <row r="36" ht="23" hidden="0" customHeight="1">
      <c r="A36" s="3" t="str">
        <v>evidence/originals/received-attachment44.txt</v>
      </c>
      <c r="B36" s="3" t="str">
        <v>fba4bb307bb78eabe033570bc024cee8a83a7581ebd8fed6149b471391f27565</v>
      </c>
      <c r="C36" s="3" t="str">
        <v>Доказательство текущего прохода</v>
      </c>
      <c r="D36" s="3" t="str">
        <v>CHAT-FILE-02</v>
      </c>
      <c r="E36" s="3" t="str">
        <v>Открыть</v>
      </c>
    </row>
    <row r="37" ht="23" hidden="0" customHeight="1">
      <c r="A37" s="3" t="str">
        <v>evidence/originals/responsive-metrics.json</v>
      </c>
      <c r="B37" s="3" t="str">
        <v>ebff5336e9286be7f149394bb71c4a1b220ace4915886c83aa52bee52556b5ee</v>
      </c>
      <c r="C37" s="3" t="str">
        <v>Доказательство текущего прохода</v>
      </c>
      <c r="D37" s="3" t="str">
        <v>CHAT-RESP-01</v>
      </c>
      <c r="E37" s="3" t="str">
        <v>Открыть</v>
      </c>
    </row>
    <row r="38" ht="23" hidden="0" customHeight="1">
      <c r="A38" s="3" t="str">
        <v>evidence/originals/second-session-final.jpg</v>
      </c>
      <c r="B38" s="3" t="str">
        <v>c86bf046f77fbd7d1767cfc0499ab7392eed48cb32f78b48ac70dcd0f439d49d</v>
      </c>
      <c r="C38" s="3" t="str">
        <v>Доказательство текущего прохода</v>
      </c>
      <c r="D38" s="3" t="str">
        <v>CHAT-PAID-05</v>
      </c>
      <c r="E38" s="3" t="str">
        <v>Открыть</v>
      </c>
    </row>
    <row r="39" ht="23" hidden="0" customHeight="1">
      <c r="A39" s="3" t="str">
        <v>evidence/originals/second-session-final.json</v>
      </c>
      <c r="B39" s="3" t="str">
        <v>ab6ed330483135f77c50ae26e8107a7f9c0b2e389c77c1c5f86d3cb36800c7db</v>
      </c>
      <c r="C39" s="3" t="str">
        <v>Доказательство текущего прохода</v>
      </c>
      <c r="D39" s="3" t="str">
        <v>CHAT-PAID-05</v>
      </c>
      <c r="E39" s="3" t="str">
        <v>Открыть</v>
      </c>
    </row>
    <row r="40" ht="140" hidden="0" customHeight="1">
      <c r="A40" s="3" t="str">
        <v>evidence/protocol.json</v>
      </c>
      <c r="B40" s="3" t="str">
        <v>d703dca4ef3e4f4f16e3b4dcbe9c4cdc7d5c991f3d4a6c895f4ab589aeae615e</v>
      </c>
      <c r="C40" s="3" t="str">
        <v>Доказательство текущего прохода</v>
      </c>
      <c r="D40" s="3" t="str">
        <v>CHAT-TERMS-01, CHAT-TERMS-02, CHAT-LIST-01, CHAT-MSG-01, CHAT-MSG-02, CHAT-PAID-01, CHAT-PAID-02, CHAT-DRAFT-01, CHAT-FAVORITE-01, CHAT-PAID-03, CHAT-FILE-01, CHAT-COMPOSER-02, CHAT-PAID-04, CHAT-LIMIT-01, CHAT-FILE-02, CHAT-NET-01, CHAT-DELETE-01, CHAT-FILE-LIMIT-01, CHAT-QUOTE-01, CHAT-SEARCH-01, CHAT-UI-01, CHAT-UI-02, CHAT-RU-01, CHAT-PAID-05, CHAT-AUTH-01, CHAT-PAID-BUSY-01, CHAT-REPORT-01, CHAT-RESP-01, CC-F01, CC-F02, CC-F04, CC-F05, CC-F06</v>
      </c>
      <c r="E40" s="3" t="str">
        <v>Открыть</v>
      </c>
    </row>
  </sheetData>
  <hyperlinks>
    <hyperlink ref="E2" r:id="qaAuditLink1"/>
    <hyperlink ref="E3" r:id="qaAuditLink2"/>
    <hyperlink ref="E4" r:id="qaAuditLink3"/>
    <hyperlink ref="E5" r:id="qaAuditLink4"/>
    <hyperlink ref="E6" r:id="qaAuditLink5"/>
    <hyperlink ref="E7" r:id="qaAuditLink6"/>
    <hyperlink ref="E8" r:id="qaAuditLink7"/>
    <hyperlink ref="E9" r:id="qaAuditLink8"/>
    <hyperlink ref="E10" r:id="qaAuditLink9"/>
    <hyperlink ref="E11" r:id="qaAuditLink10"/>
    <hyperlink ref="E12" r:id="qaAuditLink11"/>
    <hyperlink ref="E13" r:id="qaAuditLink12"/>
    <hyperlink ref="E14" r:id="qaAuditLink13"/>
    <hyperlink ref="E15" r:id="qaAuditLink14"/>
    <hyperlink ref="E16" r:id="qaAuditLink15"/>
    <hyperlink ref="E17" r:id="qaAuditLink16"/>
    <hyperlink ref="E18" r:id="qaAuditLink17"/>
    <hyperlink ref="E19" r:id="qaAuditLink18"/>
    <hyperlink ref="E20" r:id="qaAuditLink19"/>
    <hyperlink ref="E21" r:id="qaAuditLink20"/>
    <hyperlink ref="E22" r:id="qaAuditLink21"/>
    <hyperlink ref="E23" r:id="qaAuditLink22"/>
    <hyperlink ref="E24" r:id="qaAuditLink23"/>
    <hyperlink ref="E25" r:id="qaAuditLink24"/>
    <hyperlink ref="E26" r:id="qaAuditLink25"/>
    <hyperlink ref="E27" r:id="qaAuditLink26"/>
    <hyperlink ref="E28" r:id="qaAuditLink27"/>
    <hyperlink ref="E29" r:id="qaAuditLink28"/>
    <hyperlink ref="E30" r:id="qaAuditLink29"/>
    <hyperlink ref="E31" r:id="qaAuditLink30"/>
    <hyperlink ref="E32" r:id="qaAuditLink31"/>
    <hyperlink ref="E33" r:id="qaAuditLink32"/>
    <hyperlink ref="E34" r:id="qaAuditLink33"/>
    <hyperlink ref="E35" r:id="qaAuditLink34"/>
    <hyperlink ref="E36" r:id="qaAuditLink35"/>
    <hyperlink ref="E37" r:id="qaAuditLink36"/>
    <hyperlink ref="E38" r:id="qaAuditLink37"/>
    <hyperlink ref="E39" r:id="qaAuditLink38"/>
    <hyperlink ref="E40" r:id="qaAuditLink39"/>
  </hyperlinks>
  <pageMargins left="0.7" right="0.7" top="0.75" bottom="0.75" header="0.3" footer="0.3"/>
  <tableParts count="1">
    <tablePart r:id="Rb5cf1385ef064846"/>
  </tableParts>
</worksheet>
</file>